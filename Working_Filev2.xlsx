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B4800AF2-6922-4489-B522-213D9260948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Sheet1" sheetId="1" r:id="rId1"/>
    <sheet name="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H2" i="1"/>
  <c r="H1" i="1" s="1"/>
  <c r="G2" i="1"/>
  <c r="G1" i="1"/>
</calcChain>
</file>

<file path=xl/sharedStrings.xml><?xml version="1.0" encoding="utf-8"?>
<sst xmlns="http://schemas.openxmlformats.org/spreadsheetml/2006/main" count="1533" uniqueCount="651">
  <si>
    <t>diff</t>
  </si>
  <si>
    <t>stmt</t>
  </si>
  <si>
    <t>total</t>
  </si>
  <si>
    <t>date</t>
  </si>
  <si>
    <t>date2</t>
  </si>
  <si>
    <t>description</t>
  </si>
  <si>
    <t>amount</t>
  </si>
  <si>
    <t>credit</t>
  </si>
  <si>
    <t>debit</t>
  </si>
  <si>
    <t>331 FASTRIP FOOD STORE YUCAIPA CA</t>
  </si>
  <si>
    <t>3811 EL POLLO LOCO BISHOP CA</t>
  </si>
  <si>
    <t>76 - 33401 HWY 74 HOMELAND CA ERIC SOSA TRANSACTIONS THIS CYCLE (CARD 1138) $957.66</t>
  </si>
  <si>
    <t>7-ELEVEN 38520 RIVERSIDE CA</t>
  </si>
  <si>
    <t>ALANBERTOS AUTHENTIC M SAN BERNARDIN CA</t>
  </si>
  <si>
    <t>ALL PURPOSE RENTALS BEAUMONT CA</t>
  </si>
  <si>
    <t>AMAZON MKTPL*1W1PX89R3 Amzn.com/bill WA</t>
  </si>
  <si>
    <t>AMAZON MKTPL*6H39M5PC3 Amzn.com/bill WA</t>
  </si>
  <si>
    <t>AMAZON MKTPL*8U82S7BQ3 Amzn.com/bill WA</t>
  </si>
  <si>
    <t>AMAZON MKTPL*AZ6924I73 Amzn.com/bill WA</t>
  </si>
  <si>
    <t>AMAZON MKTPL*NA7SC0Z82 Amzn.com/bill WA</t>
  </si>
  <si>
    <t>AMAZON MKTPL*NC9N46SZ3 Amzn.com/bill WA</t>
  </si>
  <si>
    <t>AMAZON MKTPL*NF81O7DI1 Amzn.com/bill WA</t>
  </si>
  <si>
    <t>AMAZON MKTPL*NH0FJ3YZ2 Amzn.com/bill WA</t>
  </si>
  <si>
    <t>AMAZON MKTPL*NH6U13EC2 Amzn.com/bill WA</t>
  </si>
  <si>
    <t>AMAZON MKTPL*NN5MP5391 Amzn.com/bill WA</t>
  </si>
  <si>
    <t>AMAZON MKTPL*OB34Q8AS3 Amzn.com/bill WA</t>
  </si>
  <si>
    <t>AMAZON MKTPL*RE3QG4H03 Amzn.com/bill WA</t>
  </si>
  <si>
    <t>AMAZON MKTPL*U52IU50S3 Amzn.com/bill WA</t>
  </si>
  <si>
    <t>AMERICAN SHOTCRETE ASSOC 248-848-3740 MA</t>
  </si>
  <si>
    <t>ANNUAL MEMBERSHIP FEE CHRIS MORENO TRANSACTIONS THIS CYCLE (CARD 9520) $956.71 INCLUDING PAYMENTS RECEIVED</t>
  </si>
  <si>
    <t>ARIZONA CONTRACTOR LICENS 602-7121515 AZ</t>
  </si>
  <si>
    <t>AUTOZONE #4379 CALIMESA CA</t>
  </si>
  <si>
    <t>BEAUMONT TAX 951-769-8528 CA</t>
  </si>
  <si>
    <t>BISHOP PAIUTE GAS STATIO BISHOP CA</t>
  </si>
  <si>
    <t>CAL MESA STEEL SUPPLY INC YUCAIPA CA</t>
  </si>
  <si>
    <t>CHERRY VALLEY AUTOMOTIVE BEAUMONT CA</t>
  </si>
  <si>
    <t>CHEVRON 0098167 REDLANDS CA ERIC SOSA TRANSACTIONS THIS CYCLE (CARD 1138) $535.58</t>
  </si>
  <si>
    <t>CHEVRON 0099280 YUCAIPA CA</t>
  </si>
  <si>
    <t>CHEVRON 0200238 LAKE ELSINORE CA ERIC SOSA TRANSACTIONS THIS CYCLE (CARD 1138) $616.83</t>
  </si>
  <si>
    <t>CHEVRON 0201596 TEMECULA CA</t>
  </si>
  <si>
    <t>CHEVRON 0308990 MORENO VALLEY CA</t>
  </si>
  <si>
    <t>CHEVRON 0358404 RIVERSIDE CA</t>
  </si>
  <si>
    <t>CHEVRON 0380022 MENIFEE CA</t>
  </si>
  <si>
    <t>CHIPOTLE 3041 BANNING CA</t>
  </si>
  <si>
    <t>CLARKIES DINER YUCAIPA CA</t>
  </si>
  <si>
    <t>COBBS PRINTING LLC YUCAIPA CA</t>
  </si>
  <si>
    <t>COSTCO GAS #1715 HIGHLAND CA</t>
  </si>
  <si>
    <t>CULVERS LAKE HAVASU CITY LAKE HAVASU C AZ</t>
  </si>
  <si>
    <t>CUMMINS INC - X2 812-377-4357 CA</t>
  </si>
  <si>
    <t>DEL MAR GRILL YUCAIPA CA</t>
  </si>
  <si>
    <t>DENNY'S #6064 BISHOP CA</t>
  </si>
  <si>
    <t>DYNO MOTORSPORTS &amp; AUDIO YUCAIPA CA</t>
  </si>
  <si>
    <t>eBay O*10-13582-97885 800-4563229 CA</t>
  </si>
  <si>
    <t>eBay O*13-13579-06287 San Jose CA</t>
  </si>
  <si>
    <t>EL BURRITO#3 REDLANDS CA</t>
  </si>
  <si>
    <t>EL BURRITO#3 REDLANDS CA CHRIS MORENO TRANSACTIONS THIS CYCLE (CARD 9520) $267.11 INCLUDING PAYMENTS RECEIVED</t>
  </si>
  <si>
    <t>EWING IRRIGATION PRD 07 SAN BERNARDIN CA</t>
  </si>
  <si>
    <t>EXXON YUCAIPA EASY STO YUCAIPA CA</t>
  </si>
  <si>
    <t>FLEET SERVICES INC / SAN SAN BERNARDIN CA</t>
  </si>
  <si>
    <t>FLOS AIRPORT CAFE CHINO CA</t>
  </si>
  <si>
    <t>FREEDOM PETRO INC YUCAIPA CA</t>
  </si>
  <si>
    <t>GROCERY OUTLET OF M MAMMOTH LAKES CA</t>
  </si>
  <si>
    <t>HARBOR FREIGHT TOOLS 837 BANNING CA</t>
  </si>
  <si>
    <t>HARBOR FREIGHT TOOLS 837 BANNING CA CHRIS MORENO TRANSACTIONS THIS CYCLE (CARD 9520) $1160.10 INCLUDING PAYMENTS RECEIVED</t>
  </si>
  <si>
    <t>HOMEDEPOT.COM 800-430-3376 GA</t>
  </si>
  <si>
    <t>IN *LIFT PARTS OF CALIFOR 951-8230045 CA</t>
  </si>
  <si>
    <t>INLAND BOBCAT - 24 RIVERSIDE CA</t>
  </si>
  <si>
    <t>INLAND SMOG STOP CALIMESA CA</t>
  </si>
  <si>
    <t>IN-N-OUT JURUPA VALLEY JURUPA VALLEY CA</t>
  </si>
  <si>
    <t>JACK IN THE BOX 5347 MENIFEE CA</t>
  </si>
  <si>
    <t>JOHNS PIZZA WORKS MAMMOTH LAKES CA</t>
  </si>
  <si>
    <t>LINDAS CASA TREJO REST 909-4861641 CA</t>
  </si>
  <si>
    <t>LITTLE SISTER'S HESPERIA HESPERIA CA</t>
  </si>
  <si>
    <t>LITTLE SISTERS THOUSANDS THOUSAND PALM CA</t>
  </si>
  <si>
    <t>LOWES #01574* MORENO VALLEY CA</t>
  </si>
  <si>
    <t>LOWES #02856* HIGHLAND CA</t>
  </si>
  <si>
    <t>MAVERIK #690 LAKE HAVASU C AZ</t>
  </si>
  <si>
    <t>NAPA STORE 4642752 BEAUMONT CA</t>
  </si>
  <si>
    <t>ONE*onlineliquidati Hong Kong</t>
  </si>
  <si>
    <t>O'REILLY 2678 BEAUMONT CA</t>
  </si>
  <si>
    <t>O'REILLY 3091 BISHOP CA</t>
  </si>
  <si>
    <t>Payment Thank You - Web</t>
  </si>
  <si>
    <t>Payment Thank You-Mobile</t>
  </si>
  <si>
    <t>PILOT 200 BORON CA</t>
  </si>
  <si>
    <t>Pump Parts Plus 951-940-8300 CA</t>
  </si>
  <si>
    <t>RC DEPT WASTE RES BEAUMONT CA</t>
  </si>
  <si>
    <t>RODEWAY INN &amp; STES AZ330 LAKE HAVASU C AZ</t>
  </si>
  <si>
    <t>RODEWAY INN AZ330 LAKE HAVASU C AZ</t>
  </si>
  <si>
    <t>RUPERTOS MEXICAN FOOD PARKER AZ</t>
  </si>
  <si>
    <t>SCOTT EQUIPMENT 9098222200 CA</t>
  </si>
  <si>
    <t>SHELL OIL10007113011 CALIMESA CA</t>
  </si>
  <si>
    <t>SHELL OIL10007807018 CALIMESA CA</t>
  </si>
  <si>
    <t>SHELL OIL10061118013 BEAUMONT CA</t>
  </si>
  <si>
    <t>SHELL OIL10061118013 BEAUMONT CA ERIC SOSA TRANSACTIONS THIS CYCLE (CARD 1138) $459.81</t>
  </si>
  <si>
    <t>SHELL OIL12538548012 HEMET CA</t>
  </si>
  <si>
    <t>SHELL OIL12538548012 HEMET CA ERIC SOSA TRANSACTIONS THIS CYCLE (CARD 1138) $228.15</t>
  </si>
  <si>
    <t>SHELL OIL12867495025 CORONA CA ERIC SOSA TRANSACTIONS THIS CYCLE (CARD 1138) $683.31</t>
  </si>
  <si>
    <t>SHELL OIL13191577017 LOMA LINDA CA</t>
  </si>
  <si>
    <t>SHILO INNS MAMMOTH LAK MAMMOTH LAKES CA</t>
  </si>
  <si>
    <t>SHILO INNS MAMMOTH LAK MAMMOTH LAKES CA CHRIS MORENO TRANSACTIONS THIS CYCLE (CARD 0725) $224.84 INCLUDING PAYMENTS RECEIVED</t>
  </si>
  <si>
    <t>SP MURDOCK INDUSTRIAL MURDOCKINDUST OH</t>
  </si>
  <si>
    <t>SUPERIOR AUTOMOTIVE WARE YUCAIPA CA</t>
  </si>
  <si>
    <t>THE FLAMING GRILL MORENO VALLEY CA</t>
  </si>
  <si>
    <t>THE HOME DEPOT #8987 BEAUMONT CA</t>
  </si>
  <si>
    <t>THE HOME DEPOT 8987 BEAUMONT CA</t>
  </si>
  <si>
    <t>THE TOLL ROADS OF OC 949-727-4800 CA</t>
  </si>
  <si>
    <t>TIKTOK SHOP TIKTOK.COM CA</t>
  </si>
  <si>
    <t>TOWNHOUSE MOTEL BISHOP CA</t>
  </si>
  <si>
    <t>TRACTOR SUPPLY #2134 CALIMESA CA</t>
  </si>
  <si>
    <t>TRAVELOCITY*7327047374 tvly.com WA</t>
  </si>
  <si>
    <t>TRAVELOCITY*7327705064 tvly.com WA CHRIS MORENO TRANSACTIONS THIS CYCLE (CARD 0725) $1546.34- INCLUDING PAYMENTS RECEIVED</t>
  </si>
  <si>
    <t>TRAVELOCITY*7327705190 tvly.com WA</t>
  </si>
  <si>
    <t>TST* CORKY'S KITCHEN &amp; BA EASTVALE CA</t>
  </si>
  <si>
    <t>TST* CORKY'S KITCHEN AND YUCAIPA CA</t>
  </si>
  <si>
    <t>TST* PIEOLOGY - BEAUMONT BEAUMONT CA</t>
  </si>
  <si>
    <t>TST*OCAMPOS RESTAURANT Yucaipa CA</t>
  </si>
  <si>
    <t>TST*OCAMPOS RESTAURANT Yucaipa CA CHRIS MORENO TRANSACTIONS THIS CYCLE (CARD 0725) $1016.95- INCLUDING PAYMENTS RECEIVED</t>
  </si>
  <si>
    <t>TST*OCAMPOS RESTAURANT Yucaipa CA CHRIS MORENO TRANSACTIONS THIS CYCLE (CARD 9520) $1603.26- INCLUDING PAYMENTS RECEIVED</t>
  </si>
  <si>
    <t>TST*PATSY MAES WEST HEM Hemet CA</t>
  </si>
  <si>
    <t>TST*SALSAS TAQUERIA - M Mammoth Lakes CA</t>
  </si>
  <si>
    <t>VZWRLSS*IVR VW 800-922-0204 FL</t>
  </si>
  <si>
    <t>YSP*Bfduite HONG KONG</t>
  </si>
  <si>
    <t>Unnamed: 0</t>
  </si>
  <si>
    <t>Unnamed: 1</t>
  </si>
  <si>
    <t>Unnamed: 2</t>
  </si>
  <si>
    <t>Unnamed: 3</t>
  </si>
  <si>
    <t>Unnamed: 4</t>
  </si>
  <si>
    <t>0.1</t>
  </si>
  <si>
    <t>18542.309999999998</t>
  </si>
  <si>
    <t>20465.86</t>
  </si>
  <si>
    <t>18542.31</t>
  </si>
  <si>
    <t>2025-05-09 00:00:00</t>
  </si>
  <si>
    <t>Fastrip</t>
  </si>
  <si>
    <t>-20.46</t>
  </si>
  <si>
    <t>0</t>
  </si>
  <si>
    <t>20.46</t>
  </si>
  <si>
    <t>-91.37</t>
  </si>
  <si>
    <t>91.37</t>
  </si>
  <si>
    <t>2025-05-23 00:00:00</t>
  </si>
  <si>
    <t>-70</t>
  </si>
  <si>
    <t>70</t>
  </si>
  <si>
    <t>2025-07-12 00:00:00</t>
  </si>
  <si>
    <t>-30.05</t>
  </si>
  <si>
    <t>30.05</t>
  </si>
  <si>
    <t>2025-08-12 00:00:00</t>
  </si>
  <si>
    <t>-60.46</t>
  </si>
  <si>
    <t>60.46</t>
  </si>
  <si>
    <t>2025-09-01 00:00:00</t>
  </si>
  <si>
    <t>-54.01</t>
  </si>
  <si>
    <t>54.01</t>
  </si>
  <si>
    <t>2025-09-14 00:00:00</t>
  </si>
  <si>
    <t>-57.17</t>
  </si>
  <si>
    <t>57.17</t>
  </si>
  <si>
    <t>2025-10-13 00:00:00</t>
  </si>
  <si>
    <t>-8.69</t>
  </si>
  <si>
    <t>8.69</t>
  </si>
  <si>
    <t>-70.51</t>
  </si>
  <si>
    <t>70.51</t>
  </si>
  <si>
    <t>2025-10-14 00:00:00</t>
  </si>
  <si>
    <t>76</t>
  </si>
  <si>
    <t>-37.3</t>
  </si>
  <si>
    <t>37.3</t>
  </si>
  <si>
    <t>2025-06-23 00:00:00</t>
  </si>
  <si>
    <t>7-Eleven</t>
  </si>
  <si>
    <t>-74.7</t>
  </si>
  <si>
    <t>74.7</t>
  </si>
  <si>
    <t>2025-05-15 00:00:00</t>
  </si>
  <si>
    <t>-40.55</t>
  </si>
  <si>
    <t>40.55</t>
  </si>
  <si>
    <t>-54.06</t>
  </si>
  <si>
    <t>54.06</t>
  </si>
  <si>
    <t>2025-08-07 00:00:00</t>
  </si>
  <si>
    <t>All Purpose Rentals</t>
  </si>
  <si>
    <t>-67.06</t>
  </si>
  <si>
    <t>67.06</t>
  </si>
  <si>
    <t>2025-07-28 00:00:00</t>
  </si>
  <si>
    <t>Amazon</t>
  </si>
  <si>
    <t>-10.86</t>
  </si>
  <si>
    <t>10.86</t>
  </si>
  <si>
    <t>2025-08-09 00:00:00</t>
  </si>
  <si>
    <t>-38.46</t>
  </si>
  <si>
    <t>38.46</t>
  </si>
  <si>
    <t>2025-04-13 00:00:00</t>
  </si>
  <si>
    <t>-22.8</t>
  </si>
  <si>
    <t>22.8</t>
  </si>
  <si>
    <t>2025-09-21 00:00:00</t>
  </si>
  <si>
    <t>-8.58</t>
  </si>
  <si>
    <t>8.58</t>
  </si>
  <si>
    <t>2025-06-10 00:00:00</t>
  </si>
  <si>
    <t>-32.61</t>
  </si>
  <si>
    <t>32.61</t>
  </si>
  <si>
    <t>2025-09-07 00:00:00</t>
  </si>
  <si>
    <t>2025-10-11 00:00:00</t>
  </si>
  <si>
    <t>-18.48</t>
  </si>
  <si>
    <t>18.48</t>
  </si>
  <si>
    <t>2025-06-09 00:00:00</t>
  </si>
  <si>
    <t>-10.28</t>
  </si>
  <si>
    <t>10.28</t>
  </si>
  <si>
    <t>2025-06-05 00:00:00</t>
  </si>
  <si>
    <t>2025-05-27 00:00:00</t>
  </si>
  <si>
    <t>-154.41</t>
  </si>
  <si>
    <t>154.41</t>
  </si>
  <si>
    <t>2025-08-11 00:00:00</t>
  </si>
  <si>
    <t>-37.83</t>
  </si>
  <si>
    <t>37.83</t>
  </si>
  <si>
    <t>2025-09-03 00:00:00</t>
  </si>
  <si>
    <t>-28.26</t>
  </si>
  <si>
    <t>28.26</t>
  </si>
  <si>
    <t>2025-07-27 00:00:00</t>
  </si>
  <si>
    <t>-19.56</t>
  </si>
  <si>
    <t>19.56</t>
  </si>
  <si>
    <t>2025-09-08 00:00:00</t>
  </si>
  <si>
    <t>-65</t>
  </si>
  <si>
    <t>65</t>
  </si>
  <si>
    <t>2025-05-01 00:00:00</t>
  </si>
  <si>
    <t>-95</t>
  </si>
  <si>
    <t>95</t>
  </si>
  <si>
    <t>2025-05-08 00:00:00</t>
  </si>
  <si>
    <t>-700</t>
  </si>
  <si>
    <t>700</t>
  </si>
  <si>
    <t>2025-04-19 00:00:00</t>
  </si>
  <si>
    <t>Autozone</t>
  </si>
  <si>
    <t>-12.92</t>
  </si>
  <si>
    <t>12.92</t>
  </si>
  <si>
    <t>2025-09-20 00:00:00</t>
  </si>
  <si>
    <t>2025-06-22 00:00:00</t>
  </si>
  <si>
    <t>-53.5</t>
  </si>
  <si>
    <t>53.5</t>
  </si>
  <si>
    <t>2025-09-16 00:00:00</t>
  </si>
  <si>
    <t>-194</t>
  </si>
  <si>
    <t>194</t>
  </si>
  <si>
    <t>-95.01</t>
  </si>
  <si>
    <t>95.01</t>
  </si>
  <si>
    <t>-62</t>
  </si>
  <si>
    <t>62</t>
  </si>
  <si>
    <t>2025-04-28 00:00:00</t>
  </si>
  <si>
    <t>Cal Mesa Steel Supply</t>
  </si>
  <si>
    <t>-13.05</t>
  </si>
  <si>
    <t>13.05</t>
  </si>
  <si>
    <t>2025-06-06 00:00:00</t>
  </si>
  <si>
    <t>-119.89</t>
  </si>
  <si>
    <t>119.89</t>
  </si>
  <si>
    <t>2025-08-06 00:00:00</t>
  </si>
  <si>
    <t>-363.12</t>
  </si>
  <si>
    <t>363.12</t>
  </si>
  <si>
    <t>2025-09-17 00:00:00</t>
  </si>
  <si>
    <t>Chevron</t>
  </si>
  <si>
    <t>-82</t>
  </si>
  <si>
    <t>82</t>
  </si>
  <si>
    <t>2025-10-01 00:00:00</t>
  </si>
  <si>
    <t>2025-06-13 00:00:00</t>
  </si>
  <si>
    <t>-78.01</t>
  </si>
  <si>
    <t>78.01</t>
  </si>
  <si>
    <t>2025-08-05 00:00:00</t>
  </si>
  <si>
    <t>-75</t>
  </si>
  <si>
    <t>75</t>
  </si>
  <si>
    <t>2025-07-29 00:00:00</t>
  </si>
  <si>
    <t>-81.12</t>
  </si>
  <si>
    <t>81.12</t>
  </si>
  <si>
    <t>2025-06-27 00:00:00</t>
  </si>
  <si>
    <t>-85</t>
  </si>
  <si>
    <t>85</t>
  </si>
  <si>
    <t>2025-07-24 00:00:00</t>
  </si>
  <si>
    <t>-70.13</t>
  </si>
  <si>
    <t>70.13</t>
  </si>
  <si>
    <t>2025-08-21 00:00:00</t>
  </si>
  <si>
    <t>-86.52</t>
  </si>
  <si>
    <t>86.52</t>
  </si>
  <si>
    <t>2025-08-28 00:00:00</t>
  </si>
  <si>
    <t>-60.04</t>
  </si>
  <si>
    <t>60.04</t>
  </si>
  <si>
    <t>-58.47</t>
  </si>
  <si>
    <t>58.47</t>
  </si>
  <si>
    <t>2025-09-06 00:00:00</t>
  </si>
  <si>
    <t>-54.55</t>
  </si>
  <si>
    <t>54.55</t>
  </si>
  <si>
    <t>2025-10-06 00:00:00</t>
  </si>
  <si>
    <t>-79.43</t>
  </si>
  <si>
    <t>79.43</t>
  </si>
  <si>
    <t>2025-04-12 00:00:00</t>
  </si>
  <si>
    <t>Chipotle</t>
  </si>
  <si>
    <t>-29.69</t>
  </si>
  <si>
    <t>29.69</t>
  </si>
  <si>
    <t>2025-05-24 00:00:00</t>
  </si>
  <si>
    <t>Clarkies Diner</t>
  </si>
  <si>
    <t>-27.27</t>
  </si>
  <si>
    <t>27.27</t>
  </si>
  <si>
    <t>2025-06-21 00:00:00</t>
  </si>
  <si>
    <t>2025-06-28 00:00:00</t>
  </si>
  <si>
    <t>-64.17</t>
  </si>
  <si>
    <t>64.17</t>
  </si>
  <si>
    <t>2025-07-04 00:00:00</t>
  </si>
  <si>
    <t>-73.72</t>
  </si>
  <si>
    <t>73.72</t>
  </si>
  <si>
    <t>2025-09-27 00:00:00</t>
  </si>
  <si>
    <t>-54.38</t>
  </si>
  <si>
    <t>54.38</t>
  </si>
  <si>
    <t>2025-04-21 00:00:00</t>
  </si>
  <si>
    <t>Costco</t>
  </si>
  <si>
    <t>-50.96</t>
  </si>
  <si>
    <t>50.96</t>
  </si>
  <si>
    <t>2025-09-22 00:00:00</t>
  </si>
  <si>
    <t>Culvers</t>
  </si>
  <si>
    <t>-36.99</t>
  </si>
  <si>
    <t>36.99</t>
  </si>
  <si>
    <t>2025-10-08 00:00:00</t>
  </si>
  <si>
    <t>Cummins Inc</t>
  </si>
  <si>
    <t>-495.51</t>
  </si>
  <si>
    <t>495.51</t>
  </si>
  <si>
    <t>2025-08-03 00:00:00</t>
  </si>
  <si>
    <t>Del Mar Grill</t>
  </si>
  <si>
    <t>-49.86</t>
  </si>
  <si>
    <t>49.86</t>
  </si>
  <si>
    <t>2025-08-31 00:00:00</t>
  </si>
  <si>
    <t>-63.68</t>
  </si>
  <si>
    <t>63.68</t>
  </si>
  <si>
    <t>-61.62</t>
  </si>
  <si>
    <t>61.62</t>
  </si>
  <si>
    <t>2025-10-05 00:00:00</t>
  </si>
  <si>
    <t>-95.6</t>
  </si>
  <si>
    <t>95.6</t>
  </si>
  <si>
    <t>2025-09-15 00:00:00</t>
  </si>
  <si>
    <t>-125.74</t>
  </si>
  <si>
    <t>125.74</t>
  </si>
  <si>
    <t>2025-07-01 00:00:00</t>
  </si>
  <si>
    <t>Dyno Motorsports</t>
  </si>
  <si>
    <t>-546.01</t>
  </si>
  <si>
    <t>546.01</t>
  </si>
  <si>
    <t>Ebay</t>
  </si>
  <si>
    <t>-67.03</t>
  </si>
  <si>
    <t>67.03</t>
  </si>
  <si>
    <t>-86.89</t>
  </si>
  <si>
    <t>86.89</t>
  </si>
  <si>
    <t>2025-06-02 00:00:00</t>
  </si>
  <si>
    <t>El Burrito</t>
  </si>
  <si>
    <t>-19.72</t>
  </si>
  <si>
    <t>19.72</t>
  </si>
  <si>
    <t>2025-07-21 00:00:00</t>
  </si>
  <si>
    <t>-9.99</t>
  </si>
  <si>
    <t>9.99</t>
  </si>
  <si>
    <t>2025-08-02 00:00:00</t>
  </si>
  <si>
    <t>2025-04-17 00:00:00</t>
  </si>
  <si>
    <t>-14.62</t>
  </si>
  <si>
    <t>14.62</t>
  </si>
  <si>
    <t>Ewing Irrigation</t>
  </si>
  <si>
    <t>-121.61</t>
  </si>
  <si>
    <t>121.61</t>
  </si>
  <si>
    <t>-59.57</t>
  </si>
  <si>
    <t>59.57</t>
  </si>
  <si>
    <t>2025-07-08 00:00:00</t>
  </si>
  <si>
    <t>-17.29</t>
  </si>
  <si>
    <t>17.29</t>
  </si>
  <si>
    <t>-53.48</t>
  </si>
  <si>
    <t>53.48</t>
  </si>
  <si>
    <t>-64.82</t>
  </si>
  <si>
    <t>64.82</t>
  </si>
  <si>
    <t>2025-05-19 00:00:00</t>
  </si>
  <si>
    <t>-106.91</t>
  </si>
  <si>
    <t>106.91</t>
  </si>
  <si>
    <t>Fleet Services</t>
  </si>
  <si>
    <t>-92.55</t>
  </si>
  <si>
    <t>92.55</t>
  </si>
  <si>
    <t>2025-10-03 00:00:00</t>
  </si>
  <si>
    <t>-18.7</t>
  </si>
  <si>
    <t>18.7</t>
  </si>
  <si>
    <t>2025-07-20 00:00:00</t>
  </si>
  <si>
    <t>Freedom Petro Inc</t>
  </si>
  <si>
    <t>-77.24</t>
  </si>
  <si>
    <t>77.24</t>
  </si>
  <si>
    <t>-9.59</t>
  </si>
  <si>
    <t>9.59</t>
  </si>
  <si>
    <t>Harbor Freight Tools</t>
  </si>
  <si>
    <t>-18.31</t>
  </si>
  <si>
    <t>18.31</t>
  </si>
  <si>
    <t>-21.53</t>
  </si>
  <si>
    <t>21.53</t>
  </si>
  <si>
    <t>2025-07-19 00:00:00</t>
  </si>
  <si>
    <t>-16.13</t>
  </si>
  <si>
    <t>16.13</t>
  </si>
  <si>
    <t>-38.75</t>
  </si>
  <si>
    <t>38.75</t>
  </si>
  <si>
    <t>-19.98</t>
  </si>
  <si>
    <t>19.98</t>
  </si>
  <si>
    <t>2025-07-14 00:00:00</t>
  </si>
  <si>
    <t>-116.08</t>
  </si>
  <si>
    <t>116.08</t>
  </si>
  <si>
    <t>2025-07-11 00:00:00</t>
  </si>
  <si>
    <t>-932.01</t>
  </si>
  <si>
    <t>932.01</t>
  </si>
  <si>
    <t>-73.95</t>
  </si>
  <si>
    <t>73.95</t>
  </si>
  <si>
    <t>-36.98</t>
  </si>
  <si>
    <t>36.98</t>
  </si>
  <si>
    <t>2025-09-25 00:00:00</t>
  </si>
  <si>
    <t>-118.75</t>
  </si>
  <si>
    <t>118.75</t>
  </si>
  <si>
    <t>Inland Smog Stop</t>
  </si>
  <si>
    <t>-200</t>
  </si>
  <si>
    <t>200</t>
  </si>
  <si>
    <t>In-N-Out</t>
  </si>
  <si>
    <t>-12.23</t>
  </si>
  <si>
    <t>12.23</t>
  </si>
  <si>
    <t>2025-09-19 00:00:00</t>
  </si>
  <si>
    <t>-27.81</t>
  </si>
  <si>
    <t>27.81</t>
  </si>
  <si>
    <t>-101.32</t>
  </si>
  <si>
    <t>101.32</t>
  </si>
  <si>
    <t>2025-10-12 00:00:00</t>
  </si>
  <si>
    <t>-23.63</t>
  </si>
  <si>
    <t>23.63</t>
  </si>
  <si>
    <t>2025-08-14 00:00:00</t>
  </si>
  <si>
    <t>-72.94</t>
  </si>
  <si>
    <t>72.94</t>
  </si>
  <si>
    <t>-48.08</t>
  </si>
  <si>
    <t>48.08</t>
  </si>
  <si>
    <t>-62.83</t>
  </si>
  <si>
    <t>62.83</t>
  </si>
  <si>
    <t>-63.14</t>
  </si>
  <si>
    <t>63.14</t>
  </si>
  <si>
    <t>2025-04-25 00:00:00</t>
  </si>
  <si>
    <t>Lowes</t>
  </si>
  <si>
    <t>-73.82</t>
  </si>
  <si>
    <t>73.82</t>
  </si>
  <si>
    <t>2025-05-21 00:00:00</t>
  </si>
  <si>
    <t>-2001.09</t>
  </si>
  <si>
    <t>2001.09</t>
  </si>
  <si>
    <t>Maverik</t>
  </si>
  <si>
    <t>-94</t>
  </si>
  <si>
    <t>94</t>
  </si>
  <si>
    <t>-175</t>
  </si>
  <si>
    <t>175</t>
  </si>
  <si>
    <t>-123.88</t>
  </si>
  <si>
    <t>123.88</t>
  </si>
  <si>
    <t>2025-09-23 00:00:00</t>
  </si>
  <si>
    <t>-39.49</t>
  </si>
  <si>
    <t>39.49</t>
  </si>
  <si>
    <t>-109.21</t>
  </si>
  <si>
    <t>109.21</t>
  </si>
  <si>
    <t>-16.32</t>
  </si>
  <si>
    <t>16.32</t>
  </si>
  <si>
    <t>2025-09-13 00:00:00</t>
  </si>
  <si>
    <t>-54.94</t>
  </si>
  <si>
    <t>54.94</t>
  </si>
  <si>
    <t>-35.55</t>
  </si>
  <si>
    <t>35.55</t>
  </si>
  <si>
    <t>2025-08-08 00:00:00</t>
  </si>
  <si>
    <t>-48.98</t>
  </si>
  <si>
    <t>48.98</t>
  </si>
  <si>
    <t>2025-06-04 00:00:00</t>
  </si>
  <si>
    <t>O'Reilly</t>
  </si>
  <si>
    <t>-19.37</t>
  </si>
  <si>
    <t>19.37</t>
  </si>
  <si>
    <t>-43.08</t>
  </si>
  <si>
    <t>43.08</t>
  </si>
  <si>
    <t>2025-04-26 00:00:00</t>
  </si>
  <si>
    <t>379.85</t>
  </si>
  <si>
    <t>2025-06-03 00:00:00</t>
  </si>
  <si>
    <t>4771.64</t>
  </si>
  <si>
    <t>2025-07-03 00:00:00</t>
  </si>
  <si>
    <t>600</t>
  </si>
  <si>
    <t>500</t>
  </si>
  <si>
    <t>1000</t>
  </si>
  <si>
    <t>2025-08-15 00:00:00</t>
  </si>
  <si>
    <t>962.05</t>
  </si>
  <si>
    <t>2512.23</t>
  </si>
  <si>
    <t>2025-10-17 00:00:00</t>
  </si>
  <si>
    <t>2000</t>
  </si>
  <si>
    <t>920.7</t>
  </si>
  <si>
    <t>808.95</t>
  </si>
  <si>
    <t>Pilot</t>
  </si>
  <si>
    <t>-7.53</t>
  </si>
  <si>
    <t>7.53</t>
  </si>
  <si>
    <t>-20.01</t>
  </si>
  <si>
    <t>20.01</t>
  </si>
  <si>
    <t>2025-06-19 00:00:00</t>
  </si>
  <si>
    <t>Pump Parts Plus</t>
  </si>
  <si>
    <t>-462.79</t>
  </si>
  <si>
    <t>462.79</t>
  </si>
  <si>
    <t>2025-10-16 00:00:00</t>
  </si>
  <si>
    <t>-311.94</t>
  </si>
  <si>
    <t>311.94</t>
  </si>
  <si>
    <t>2025-07-18 00:00:00</t>
  </si>
  <si>
    <t>-153.52</t>
  </si>
  <si>
    <t>153.52</t>
  </si>
  <si>
    <t>Rodeway Inn</t>
  </si>
  <si>
    <t>-216.03</t>
  </si>
  <si>
    <t>216.03</t>
  </si>
  <si>
    <t>-288.04</t>
  </si>
  <si>
    <t>288.04</t>
  </si>
  <si>
    <t>-144.02</t>
  </si>
  <si>
    <t>144.02</t>
  </si>
  <si>
    <t>Rupertos Mexican Food</t>
  </si>
  <si>
    <t>-10.39</t>
  </si>
  <si>
    <t>10.39</t>
  </si>
  <si>
    <t>Scott Equipment</t>
  </si>
  <si>
    <t>-5.87</t>
  </si>
  <si>
    <t>5.87</t>
  </si>
  <si>
    <t>2025-09-26 00:00:00</t>
  </si>
  <si>
    <t>Shell Oil</t>
  </si>
  <si>
    <t>-72.12</t>
  </si>
  <si>
    <t>72.12</t>
  </si>
  <si>
    <t>-37.05</t>
  </si>
  <si>
    <t>37.05</t>
  </si>
  <si>
    <t>2025-08-16 00:00:00</t>
  </si>
  <si>
    <t>-120.66</t>
  </si>
  <si>
    <t>120.66</t>
  </si>
  <si>
    <t>2025-06-07 00:00:00</t>
  </si>
  <si>
    <t>-67.94</t>
  </si>
  <si>
    <t>67.94</t>
  </si>
  <si>
    <t>2025-10-09 00:00:00</t>
  </si>
  <si>
    <t>-81.9</t>
  </si>
  <si>
    <t>81.9</t>
  </si>
  <si>
    <t>Eric Sosa</t>
  </si>
  <si>
    <t>-80.04</t>
  </si>
  <si>
    <t>80.04</t>
  </si>
  <si>
    <t>2025-04-24 00:00:00</t>
  </si>
  <si>
    <t>-80</t>
  </si>
  <si>
    <t>80</t>
  </si>
  <si>
    <t>-68.45</t>
  </si>
  <si>
    <t>68.45</t>
  </si>
  <si>
    <t>2025-05-16 00:00:00</t>
  </si>
  <si>
    <t>-53.91</t>
  </si>
  <si>
    <t>53.91</t>
  </si>
  <si>
    <t>-122.04</t>
  </si>
  <si>
    <t>122.04</t>
  </si>
  <si>
    <t>-147.52</t>
  </si>
  <si>
    <t>147.52</t>
  </si>
  <si>
    <t>2025-05-20 00:00:00</t>
  </si>
  <si>
    <t>Superior Automotive</t>
  </si>
  <si>
    <t>-145.51</t>
  </si>
  <si>
    <t>145.51</t>
  </si>
  <si>
    <t>-163.93</t>
  </si>
  <si>
    <t>163.93</t>
  </si>
  <si>
    <t>-46.12</t>
  </si>
  <si>
    <t>46.12</t>
  </si>
  <si>
    <t>-140.99</t>
  </si>
  <si>
    <t>140.99</t>
  </si>
  <si>
    <t>-62.37</t>
  </si>
  <si>
    <t>62.37</t>
  </si>
  <si>
    <t>-104.58</t>
  </si>
  <si>
    <t>104.58</t>
  </si>
  <si>
    <t>-13.58</t>
  </si>
  <si>
    <t>13.58</t>
  </si>
  <si>
    <t>-30.41</t>
  </si>
  <si>
    <t>30.41</t>
  </si>
  <si>
    <t>The Home Depot</t>
  </si>
  <si>
    <t>-26.91</t>
  </si>
  <si>
    <t>26.91</t>
  </si>
  <si>
    <t>-89.27</t>
  </si>
  <si>
    <t>89.27</t>
  </si>
  <si>
    <t>-1626.98</t>
  </si>
  <si>
    <t>1626.98</t>
  </si>
  <si>
    <t>The Toll Roads Of OC</t>
  </si>
  <si>
    <t>-40</t>
  </si>
  <si>
    <t>40</t>
  </si>
  <si>
    <t>Tiktok Shop</t>
  </si>
  <si>
    <t>-68.49</t>
  </si>
  <si>
    <t>68.49</t>
  </si>
  <si>
    <t>-15.55</t>
  </si>
  <si>
    <t>15.55</t>
  </si>
  <si>
    <t>-12.48</t>
  </si>
  <si>
    <t>12.48</t>
  </si>
  <si>
    <t>-23.33</t>
  </si>
  <si>
    <t>23.33</t>
  </si>
  <si>
    <t>-107.67</t>
  </si>
  <si>
    <t>107.67</t>
  </si>
  <si>
    <t>-16.65</t>
  </si>
  <si>
    <t>16.65</t>
  </si>
  <si>
    <t>-474.24</t>
  </si>
  <si>
    <t>474.24</t>
  </si>
  <si>
    <t>Tractor Supply</t>
  </si>
  <si>
    <t>Travelocity</t>
  </si>
  <si>
    <t>-513.37</t>
  </si>
  <si>
    <t>513.37</t>
  </si>
  <si>
    <t>2025-10-18 00:00:00</t>
  </si>
  <si>
    <t>-161.81</t>
  </si>
  <si>
    <t>161.81</t>
  </si>
  <si>
    <t>-323.62</t>
  </si>
  <si>
    <t>323.62</t>
  </si>
  <si>
    <t>-120.7</t>
  </si>
  <si>
    <t>120.7</t>
  </si>
  <si>
    <t>2025-04-20 00:00:00</t>
  </si>
  <si>
    <t>-21.96</t>
  </si>
  <si>
    <t>21.96</t>
  </si>
  <si>
    <t>2025-05-11 00:00:00</t>
  </si>
  <si>
    <t>-20.08</t>
  </si>
  <si>
    <t>20.08</t>
  </si>
  <si>
    <t>2025-07-02 00:00:00</t>
  </si>
  <si>
    <t>-59.17</t>
  </si>
  <si>
    <t>59.17</t>
  </si>
  <si>
    <t>-20.39</t>
  </si>
  <si>
    <t>20.39</t>
  </si>
  <si>
    <t>-58.8</t>
  </si>
  <si>
    <t>58.8</t>
  </si>
  <si>
    <t>-52.36</t>
  </si>
  <si>
    <t>52.36</t>
  </si>
  <si>
    <t>2025-10-04 00:00:00</t>
  </si>
  <si>
    <t>-32.15</t>
  </si>
  <si>
    <t>32.15</t>
  </si>
  <si>
    <t>2025-10-10 00:00:00</t>
  </si>
  <si>
    <t>-67.55</t>
  </si>
  <si>
    <t>67.55</t>
  </si>
  <si>
    <t>-38.62</t>
  </si>
  <si>
    <t>38.62</t>
  </si>
  <si>
    <t>Ocampos Restaurant</t>
  </si>
  <si>
    <t>-22.1</t>
  </si>
  <si>
    <t>22.1</t>
  </si>
  <si>
    <t>2025-04-27 00:00:00</t>
  </si>
  <si>
    <t>-101.04</t>
  </si>
  <si>
    <t>101.04</t>
  </si>
  <si>
    <t>2025-05-10 00:00:00</t>
  </si>
  <si>
    <t>-38.68</t>
  </si>
  <si>
    <t>38.68</t>
  </si>
  <si>
    <t>2025-05-17 00:00:00</t>
  </si>
  <si>
    <t>-28.46</t>
  </si>
  <si>
    <t>28.46</t>
  </si>
  <si>
    <t>-103.64</t>
  </si>
  <si>
    <t>103.64</t>
  </si>
  <si>
    <t>2025-06-29 00:00:00</t>
  </si>
  <si>
    <t>-25.75</t>
  </si>
  <si>
    <t>25.75</t>
  </si>
  <si>
    <t>2025-07-05 00:00:00</t>
  </si>
  <si>
    <t>-29.61</t>
  </si>
  <si>
    <t>29.61</t>
  </si>
  <si>
    <t>2025-07-13 00:00:00</t>
  </si>
  <si>
    <t>-23.51</t>
  </si>
  <si>
    <t>23.51</t>
  </si>
  <si>
    <t>-24.75</t>
  </si>
  <si>
    <t>24.75</t>
  </si>
  <si>
    <t>2025-07-26 00:00:00</t>
  </si>
  <si>
    <t>-42.41</t>
  </si>
  <si>
    <t>42.41</t>
  </si>
  <si>
    <t>-25.01</t>
  </si>
  <si>
    <t>25.01</t>
  </si>
  <si>
    <t>2025-08-10 00:00:00</t>
  </si>
  <si>
    <t>2025-09-28 00:00:00</t>
  </si>
  <si>
    <t>-51.5</t>
  </si>
  <si>
    <t>51.5</t>
  </si>
  <si>
    <t>-27.73</t>
  </si>
  <si>
    <t>27.73</t>
  </si>
  <si>
    <t>2025-08-17 00:00:00</t>
  </si>
  <si>
    <t>2025-06-15 00:00:00</t>
  </si>
  <si>
    <t>-22.62</t>
  </si>
  <si>
    <t>22.62</t>
  </si>
  <si>
    <t>-147.04</t>
  </si>
  <si>
    <t>147.04</t>
  </si>
  <si>
    <t>-229.3</t>
  </si>
  <si>
    <t>229.3</t>
  </si>
  <si>
    <t>2025-07-10 00:00:00</t>
  </si>
  <si>
    <t>-60.07</t>
  </si>
  <si>
    <t>60.07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</si>
</sst>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2" fillId="0" borderId="0"/>
  </cellStyleXfs>
  <cellXfs count="5">
    <xf numFmtId="0" fontId="0" fillId="0" borderId="0" xfId="0"/>
    <xf numFmtId="14" fontId="0" fillId="0" borderId="0" xfId="0" applyNumberFormat="1"/>
    <xf numFmtId="44" fontId="0" fillId="0" borderId="0" xfId="0" applyNumberFormat="1"/>
    <xf numFmtId="44" fontId="0" fillId="0" borderId="0" xfId="2" applyFont="1"/>
    <xf numFmtId="0" fontId="3" fillId="0" borderId="1" xfId="0" applyFont="1" applyBorder="1" applyAlignment="1">
      <alignment horizontal="center" vertical="top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220"/>
  <sheetViews>
    <sheetView topLeftCell="E187" workbookViewId="0">
      <selection activeCell="E6" sqref="E6:E220"/>
    </sheetView>
  </sheetViews>
  <sheetFormatPr defaultRowHeight="14.5" x14ac:dyDescent="0.35"/>
  <cols>
    <col min="3" max="3" width="11.26953125" bestFit="1" customWidth="1"/>
    <col min="4" max="4" width="6" bestFit="1" customWidth="1"/>
    <col min="5" max="5" width="139.1796875" bestFit="1" customWidth="1"/>
    <col min="6" max="6" width="11.7265625" style="2" bestFit="1" customWidth="1"/>
    <col min="7" max="7" width="12.1796875" style="3" bestFit="1" customWidth="1"/>
    <col min="8" max="8" width="12.08984375" style="3" bestFit="1" customWidth="1"/>
  </cols>
  <sheetData>
    <row r="1" spans="3:8" x14ac:dyDescent="0.35">
      <c r="F1" s="2" t="s">
        <v>0</v>
      </c>
      <c r="G1" s="3">
        <f>G3-G2</f>
        <v>0</v>
      </c>
      <c r="H1" s="3">
        <f>H3-H2</f>
        <v>0</v>
      </c>
    </row>
    <row r="2" spans="3:8" x14ac:dyDescent="0.35">
      <c r="F2" s="2" t="s">
        <v>1</v>
      </c>
      <c r="G2" s="3">
        <f>379.85+4771.64+1520.7+3308.95+2048.94+6512.23</f>
        <v>18542.309999999998</v>
      </c>
      <c r="H2" s="3">
        <f>267.11+1924.87+95+3785.21+2908.95+2751.81+2809.36+5923.55</f>
        <v>20465.86</v>
      </c>
    </row>
    <row r="3" spans="3:8" x14ac:dyDescent="0.35">
      <c r="F3" s="2" t="s">
        <v>2</v>
      </c>
      <c r="G3" s="3">
        <f>SUM(G6:G220)</f>
        <v>18542.310000000001</v>
      </c>
      <c r="H3" s="3">
        <f>SUM(H6:H220)</f>
        <v>20465.86</v>
      </c>
    </row>
    <row r="5" spans="3:8" x14ac:dyDescent="0.35">
      <c r="C5" t="s">
        <v>3</v>
      </c>
      <c r="D5" t="s">
        <v>4</v>
      </c>
      <c r="E5" t="s">
        <v>5</v>
      </c>
      <c r="F5" s="2" t="s">
        <v>6</v>
      </c>
      <c r="G5" s="3" t="s">
        <v>7</v>
      </c>
      <c r="H5" s="3" t="s">
        <v>8</v>
      </c>
    </row>
    <row r="6" spans="3:8" x14ac:dyDescent="0.35">
      <c r="C6" s="1">
        <v>45786</v>
      </c>
      <c r="E6" t="s">
        <v>9</v>
      </c>
      <c r="F6" s="2">
        <v>-20.46</v>
      </c>
      <c r="G6" s="3">
        <v>0</v>
      </c>
      <c r="H6" s="3">
        <v>20.46</v>
      </c>
    </row>
    <row r="7" spans="3:8" x14ac:dyDescent="0.35">
      <c r="C7" s="1">
        <v>45786</v>
      </c>
      <c r="E7" t="s">
        <v>9</v>
      </c>
      <c r="F7" s="2">
        <v>-91.37</v>
      </c>
      <c r="G7" s="3">
        <v>0</v>
      </c>
      <c r="H7" s="3">
        <v>91.37</v>
      </c>
    </row>
    <row r="8" spans="3:8" x14ac:dyDescent="0.35">
      <c r="C8" s="1">
        <v>45800</v>
      </c>
      <c r="E8" t="s">
        <v>9</v>
      </c>
      <c r="F8" s="2">
        <v>-70</v>
      </c>
      <c r="G8" s="3">
        <v>0</v>
      </c>
      <c r="H8" s="3">
        <v>70</v>
      </c>
    </row>
    <row r="9" spans="3:8" x14ac:dyDescent="0.35">
      <c r="C9" s="1">
        <v>45850</v>
      </c>
      <c r="E9" t="s">
        <v>9</v>
      </c>
      <c r="F9" s="2">
        <v>-30.05</v>
      </c>
      <c r="G9" s="3">
        <v>0</v>
      </c>
      <c r="H9" s="3">
        <v>30.05</v>
      </c>
    </row>
    <row r="10" spans="3:8" x14ac:dyDescent="0.35">
      <c r="C10" s="1">
        <v>45881</v>
      </c>
      <c r="E10" t="s">
        <v>9</v>
      </c>
      <c r="F10" s="2">
        <v>-60.46</v>
      </c>
      <c r="G10" s="3">
        <v>0</v>
      </c>
      <c r="H10" s="3">
        <v>60.46</v>
      </c>
    </row>
    <row r="11" spans="3:8" x14ac:dyDescent="0.35">
      <c r="C11" s="1">
        <v>45901</v>
      </c>
      <c r="E11" t="s">
        <v>9</v>
      </c>
      <c r="F11" s="2">
        <v>-54.01</v>
      </c>
      <c r="G11" s="3">
        <v>0</v>
      </c>
      <c r="H11" s="3">
        <v>54.01</v>
      </c>
    </row>
    <row r="12" spans="3:8" x14ac:dyDescent="0.35">
      <c r="C12" s="1">
        <v>45914</v>
      </c>
      <c r="E12" t="s">
        <v>9</v>
      </c>
      <c r="F12" s="2">
        <v>-57.17</v>
      </c>
      <c r="G12" s="3">
        <v>0</v>
      </c>
      <c r="H12" s="3">
        <v>57.17</v>
      </c>
    </row>
    <row r="13" spans="3:8" x14ac:dyDescent="0.35">
      <c r="C13" s="1">
        <v>45943</v>
      </c>
      <c r="E13" t="s">
        <v>10</v>
      </c>
      <c r="F13" s="2">
        <v>-8.69</v>
      </c>
      <c r="G13" s="3">
        <v>0</v>
      </c>
      <c r="H13" s="3">
        <v>8.69</v>
      </c>
    </row>
    <row r="14" spans="3:8" x14ac:dyDescent="0.35">
      <c r="C14" s="1">
        <v>45943</v>
      </c>
      <c r="E14" t="s">
        <v>10</v>
      </c>
      <c r="F14" s="2">
        <v>-70.510000000000005</v>
      </c>
      <c r="G14" s="3">
        <v>0</v>
      </c>
      <c r="H14" s="3">
        <v>70.510000000000005</v>
      </c>
    </row>
    <row r="15" spans="3:8" x14ac:dyDescent="0.35">
      <c r="C15" s="1">
        <v>45944</v>
      </c>
      <c r="E15" t="s">
        <v>11</v>
      </c>
      <c r="F15" s="2">
        <v>-37.299999999999997</v>
      </c>
      <c r="G15" s="3">
        <v>0</v>
      </c>
      <c r="H15" s="3">
        <v>37.299999999999997</v>
      </c>
    </row>
    <row r="16" spans="3:8" x14ac:dyDescent="0.35">
      <c r="C16" s="1">
        <v>45831</v>
      </c>
      <c r="E16" t="s">
        <v>12</v>
      </c>
      <c r="F16" s="2">
        <v>-74.7</v>
      </c>
      <c r="G16" s="3">
        <v>0</v>
      </c>
      <c r="H16" s="3">
        <v>74.7</v>
      </c>
    </row>
    <row r="17" spans="3:8" x14ac:dyDescent="0.35">
      <c r="C17" s="1">
        <v>45792</v>
      </c>
      <c r="E17" t="s">
        <v>13</v>
      </c>
      <c r="F17" s="2">
        <v>-40.549999999999997</v>
      </c>
      <c r="G17" s="3">
        <v>0</v>
      </c>
      <c r="H17" s="3">
        <v>40.549999999999997</v>
      </c>
    </row>
    <row r="18" spans="3:8" x14ac:dyDescent="0.35">
      <c r="C18" s="1">
        <v>45800</v>
      </c>
      <c r="E18" t="s">
        <v>13</v>
      </c>
      <c r="F18" s="2">
        <v>-54.06</v>
      </c>
      <c r="G18" s="3">
        <v>0</v>
      </c>
      <c r="H18" s="3">
        <v>54.06</v>
      </c>
    </row>
    <row r="19" spans="3:8" x14ac:dyDescent="0.35">
      <c r="C19" s="1">
        <v>45876</v>
      </c>
      <c r="E19" t="s">
        <v>14</v>
      </c>
      <c r="F19" s="2">
        <v>-67.06</v>
      </c>
      <c r="G19" s="3">
        <v>0</v>
      </c>
      <c r="H19" s="3">
        <v>67.06</v>
      </c>
    </row>
    <row r="20" spans="3:8" x14ac:dyDescent="0.35">
      <c r="C20" s="1">
        <v>45866</v>
      </c>
      <c r="E20" t="s">
        <v>15</v>
      </c>
      <c r="F20" s="2">
        <v>-10.86</v>
      </c>
      <c r="G20" s="3">
        <v>0</v>
      </c>
      <c r="H20" s="3">
        <v>10.86</v>
      </c>
    </row>
    <row r="21" spans="3:8" x14ac:dyDescent="0.35">
      <c r="C21" s="1">
        <v>45878</v>
      </c>
      <c r="E21" t="s">
        <v>16</v>
      </c>
      <c r="F21" s="2">
        <v>-38.46</v>
      </c>
      <c r="G21" s="3">
        <v>0</v>
      </c>
      <c r="H21" s="3">
        <v>38.46</v>
      </c>
    </row>
    <row r="22" spans="3:8" x14ac:dyDescent="0.35">
      <c r="C22" s="1">
        <v>45760</v>
      </c>
      <c r="E22" t="s">
        <v>17</v>
      </c>
      <c r="F22" s="2">
        <v>-22.8</v>
      </c>
      <c r="G22" s="3">
        <v>0</v>
      </c>
      <c r="H22" s="3">
        <v>22.8</v>
      </c>
    </row>
    <row r="23" spans="3:8" x14ac:dyDescent="0.35">
      <c r="C23" s="1">
        <v>45921</v>
      </c>
      <c r="E23" t="s">
        <v>18</v>
      </c>
      <c r="F23" s="2">
        <v>-8.58</v>
      </c>
      <c r="G23" s="3">
        <v>0</v>
      </c>
      <c r="H23" s="3">
        <v>8.58</v>
      </c>
    </row>
    <row r="24" spans="3:8" x14ac:dyDescent="0.35">
      <c r="C24" s="1">
        <v>45818</v>
      </c>
      <c r="E24" t="s">
        <v>19</v>
      </c>
      <c r="F24" s="2">
        <v>-32.61</v>
      </c>
      <c r="G24" s="3">
        <v>0</v>
      </c>
      <c r="H24" s="3">
        <v>32.61</v>
      </c>
    </row>
    <row r="25" spans="3:8" x14ac:dyDescent="0.35">
      <c r="C25" s="1">
        <v>45907</v>
      </c>
      <c r="E25" t="s">
        <v>20</v>
      </c>
      <c r="F25" s="2">
        <v>-10.86</v>
      </c>
      <c r="G25" s="3">
        <v>0</v>
      </c>
      <c r="H25" s="3">
        <v>10.86</v>
      </c>
    </row>
    <row r="26" spans="3:8" x14ac:dyDescent="0.35">
      <c r="C26" s="1">
        <v>45941</v>
      </c>
      <c r="E26" t="s">
        <v>21</v>
      </c>
      <c r="F26" s="2">
        <v>-18.48</v>
      </c>
      <c r="G26" s="3">
        <v>0</v>
      </c>
      <c r="H26" s="3">
        <v>18.48</v>
      </c>
    </row>
    <row r="27" spans="3:8" x14ac:dyDescent="0.35">
      <c r="C27" s="1">
        <v>45817</v>
      </c>
      <c r="E27" t="s">
        <v>22</v>
      </c>
      <c r="F27" s="2">
        <v>-10.28</v>
      </c>
      <c r="G27" s="3">
        <v>0</v>
      </c>
      <c r="H27" s="3">
        <v>10.28</v>
      </c>
    </row>
    <row r="28" spans="3:8" x14ac:dyDescent="0.35">
      <c r="C28" s="1">
        <v>45813</v>
      </c>
      <c r="E28" t="s">
        <v>23</v>
      </c>
      <c r="F28" s="2">
        <v>-10.86</v>
      </c>
      <c r="G28" s="3">
        <v>0</v>
      </c>
      <c r="H28" s="3">
        <v>10.86</v>
      </c>
    </row>
    <row r="29" spans="3:8" x14ac:dyDescent="0.35">
      <c r="C29" s="1">
        <v>45804</v>
      </c>
      <c r="E29" t="s">
        <v>24</v>
      </c>
      <c r="F29" s="2">
        <v>-154.41</v>
      </c>
      <c r="G29" s="3">
        <v>0</v>
      </c>
      <c r="H29" s="3">
        <v>154.41</v>
      </c>
    </row>
    <row r="30" spans="3:8" x14ac:dyDescent="0.35">
      <c r="C30" s="1">
        <v>45880</v>
      </c>
      <c r="E30" t="s">
        <v>25</v>
      </c>
      <c r="F30" s="2">
        <v>-37.83</v>
      </c>
      <c r="G30" s="3">
        <v>0</v>
      </c>
      <c r="H30" s="3">
        <v>37.83</v>
      </c>
    </row>
    <row r="31" spans="3:8" x14ac:dyDescent="0.35">
      <c r="C31" s="1">
        <v>45903</v>
      </c>
      <c r="E31" t="s">
        <v>26</v>
      </c>
      <c r="F31" s="2">
        <v>-28.26</v>
      </c>
      <c r="G31" s="3">
        <v>0</v>
      </c>
      <c r="H31" s="3">
        <v>28.26</v>
      </c>
    </row>
    <row r="32" spans="3:8" x14ac:dyDescent="0.35">
      <c r="C32" s="1">
        <v>45865</v>
      </c>
      <c r="E32" t="s">
        <v>27</v>
      </c>
      <c r="F32" s="2">
        <v>-19.559999999999999</v>
      </c>
      <c r="G32" s="3">
        <v>0</v>
      </c>
      <c r="H32" s="3">
        <v>19.559999999999999</v>
      </c>
    </row>
    <row r="33" spans="3:8" x14ac:dyDescent="0.35">
      <c r="C33" s="1">
        <v>45908</v>
      </c>
      <c r="E33" t="s">
        <v>28</v>
      </c>
      <c r="F33" s="2">
        <v>-65</v>
      </c>
      <c r="G33" s="3">
        <v>0</v>
      </c>
      <c r="H33" s="3">
        <v>65</v>
      </c>
    </row>
    <row r="34" spans="3:8" x14ac:dyDescent="0.35">
      <c r="C34" s="1">
        <v>45778</v>
      </c>
      <c r="E34" t="s">
        <v>29</v>
      </c>
      <c r="F34" s="2">
        <v>-95</v>
      </c>
      <c r="G34" s="3">
        <v>0</v>
      </c>
      <c r="H34" s="3">
        <v>95</v>
      </c>
    </row>
    <row r="35" spans="3:8" x14ac:dyDescent="0.35">
      <c r="C35" s="1">
        <v>45785</v>
      </c>
      <c r="E35" t="s">
        <v>30</v>
      </c>
      <c r="F35" s="2">
        <v>-700</v>
      </c>
      <c r="G35" s="3">
        <v>0</v>
      </c>
      <c r="H35" s="3">
        <v>700</v>
      </c>
    </row>
    <row r="36" spans="3:8" x14ac:dyDescent="0.35">
      <c r="C36" s="1">
        <v>45766</v>
      </c>
      <c r="E36" t="s">
        <v>31</v>
      </c>
      <c r="F36" s="2">
        <v>-12.92</v>
      </c>
      <c r="G36" s="3">
        <v>0</v>
      </c>
      <c r="H36" s="3">
        <v>12.92</v>
      </c>
    </row>
    <row r="37" spans="3:8" x14ac:dyDescent="0.35">
      <c r="C37" s="1">
        <v>45920</v>
      </c>
      <c r="E37" t="s">
        <v>31</v>
      </c>
      <c r="F37" s="2">
        <v>-10.76</v>
      </c>
      <c r="G37" s="3">
        <v>0</v>
      </c>
      <c r="H37" s="3">
        <v>10.76</v>
      </c>
    </row>
    <row r="38" spans="3:8" x14ac:dyDescent="0.35">
      <c r="C38" s="1">
        <v>45830</v>
      </c>
      <c r="E38" t="s">
        <v>32</v>
      </c>
      <c r="F38" s="2">
        <v>-53.5</v>
      </c>
      <c r="G38" s="3">
        <v>0</v>
      </c>
      <c r="H38" s="3">
        <v>53.5</v>
      </c>
    </row>
    <row r="39" spans="3:8" x14ac:dyDescent="0.35">
      <c r="C39" s="1">
        <v>45916</v>
      </c>
      <c r="E39" t="s">
        <v>33</v>
      </c>
      <c r="F39" s="2">
        <v>-194</v>
      </c>
      <c r="G39" s="3">
        <v>0</v>
      </c>
      <c r="H39" s="3">
        <v>194</v>
      </c>
    </row>
    <row r="40" spans="3:8" x14ac:dyDescent="0.35">
      <c r="C40" s="1">
        <v>45916</v>
      </c>
      <c r="E40" t="s">
        <v>33</v>
      </c>
      <c r="F40" s="2">
        <v>-95.01</v>
      </c>
      <c r="G40" s="3">
        <v>0</v>
      </c>
      <c r="H40" s="3">
        <v>95.01</v>
      </c>
    </row>
    <row r="41" spans="3:8" x14ac:dyDescent="0.35">
      <c r="C41" s="1">
        <v>45943</v>
      </c>
      <c r="E41" t="s">
        <v>33</v>
      </c>
      <c r="F41" s="2">
        <v>-62</v>
      </c>
      <c r="G41" s="3">
        <v>0</v>
      </c>
      <c r="H41" s="3">
        <v>62</v>
      </c>
    </row>
    <row r="42" spans="3:8" x14ac:dyDescent="0.35">
      <c r="C42" s="1">
        <v>45775</v>
      </c>
      <c r="E42" t="s">
        <v>34</v>
      </c>
      <c r="F42" s="2">
        <v>-13.05</v>
      </c>
      <c r="G42" s="3">
        <v>0</v>
      </c>
      <c r="H42" s="3">
        <v>13.05</v>
      </c>
    </row>
    <row r="43" spans="3:8" x14ac:dyDescent="0.35">
      <c r="C43" s="1">
        <v>45814</v>
      </c>
      <c r="E43" t="s">
        <v>35</v>
      </c>
      <c r="F43" s="2">
        <v>-119.89</v>
      </c>
      <c r="G43" s="3">
        <v>0</v>
      </c>
      <c r="H43" s="3">
        <v>119.89</v>
      </c>
    </row>
    <row r="44" spans="3:8" x14ac:dyDescent="0.35">
      <c r="C44" s="1">
        <v>45875</v>
      </c>
      <c r="E44" t="s">
        <v>35</v>
      </c>
      <c r="F44" s="2">
        <v>-363.12</v>
      </c>
      <c r="G44" s="3">
        <v>0</v>
      </c>
      <c r="H44" s="3">
        <v>363.12</v>
      </c>
    </row>
    <row r="45" spans="3:8" x14ac:dyDescent="0.35">
      <c r="C45" s="1">
        <v>45917</v>
      </c>
      <c r="E45" t="s">
        <v>36</v>
      </c>
      <c r="F45" s="2">
        <v>-82</v>
      </c>
      <c r="G45" s="3">
        <v>0</v>
      </c>
      <c r="H45" s="3">
        <v>82</v>
      </c>
    </row>
    <row r="46" spans="3:8" x14ac:dyDescent="0.35">
      <c r="C46" s="1">
        <v>45931</v>
      </c>
      <c r="E46" t="s">
        <v>37</v>
      </c>
      <c r="F46" s="2">
        <v>-76.900000000000006</v>
      </c>
      <c r="G46" s="3">
        <v>0</v>
      </c>
      <c r="H46" s="3">
        <v>76.900000000000006</v>
      </c>
    </row>
    <row r="47" spans="3:8" x14ac:dyDescent="0.35">
      <c r="C47" s="1">
        <v>45821</v>
      </c>
      <c r="E47" t="s">
        <v>38</v>
      </c>
      <c r="F47" s="2">
        <v>-78.010000000000005</v>
      </c>
      <c r="G47" s="3">
        <v>0</v>
      </c>
      <c r="H47" s="3">
        <v>78.010000000000005</v>
      </c>
    </row>
    <row r="48" spans="3:8" x14ac:dyDescent="0.35">
      <c r="C48" s="1">
        <v>45874</v>
      </c>
      <c r="E48" t="s">
        <v>39</v>
      </c>
      <c r="F48" s="2">
        <v>-75</v>
      </c>
      <c r="G48" s="3">
        <v>0</v>
      </c>
      <c r="H48" s="3">
        <v>75</v>
      </c>
    </row>
    <row r="49" spans="3:8" x14ac:dyDescent="0.35">
      <c r="C49" s="1">
        <v>45867</v>
      </c>
      <c r="E49" t="s">
        <v>40</v>
      </c>
      <c r="F49" s="2">
        <v>-81.12</v>
      </c>
      <c r="G49" s="3">
        <v>0</v>
      </c>
      <c r="H49" s="3">
        <v>81.12</v>
      </c>
    </row>
    <row r="50" spans="3:8" x14ac:dyDescent="0.35">
      <c r="C50" s="1">
        <v>45835</v>
      </c>
      <c r="E50" t="s">
        <v>41</v>
      </c>
      <c r="F50" s="2">
        <v>-85</v>
      </c>
      <c r="G50" s="3">
        <v>0</v>
      </c>
      <c r="H50" s="3">
        <v>85</v>
      </c>
    </row>
    <row r="51" spans="3:8" x14ac:dyDescent="0.35">
      <c r="C51" s="1">
        <v>45862</v>
      </c>
      <c r="E51" t="s">
        <v>42</v>
      </c>
      <c r="F51" s="2">
        <v>-70.13</v>
      </c>
      <c r="G51" s="3">
        <v>0</v>
      </c>
      <c r="H51" s="3">
        <v>70.13</v>
      </c>
    </row>
    <row r="52" spans="3:8" x14ac:dyDescent="0.35">
      <c r="C52" s="1">
        <v>45890</v>
      </c>
      <c r="E52" t="s">
        <v>42</v>
      </c>
      <c r="F52" s="2">
        <v>-86.52</v>
      </c>
      <c r="G52" s="3">
        <v>0</v>
      </c>
      <c r="H52" s="3">
        <v>86.52</v>
      </c>
    </row>
    <row r="53" spans="3:8" x14ac:dyDescent="0.35">
      <c r="C53" s="1">
        <v>45897</v>
      </c>
      <c r="E53" t="s">
        <v>42</v>
      </c>
      <c r="F53" s="2">
        <v>-60.04</v>
      </c>
      <c r="G53" s="3">
        <v>0</v>
      </c>
      <c r="H53" s="3">
        <v>60.04</v>
      </c>
    </row>
    <row r="54" spans="3:8" x14ac:dyDescent="0.35">
      <c r="C54" s="1">
        <v>45903</v>
      </c>
      <c r="E54" t="s">
        <v>42</v>
      </c>
      <c r="F54" s="2">
        <v>-58.47</v>
      </c>
      <c r="G54" s="3">
        <v>0</v>
      </c>
      <c r="H54" s="3">
        <v>58.47</v>
      </c>
    </row>
    <row r="55" spans="3:8" x14ac:dyDescent="0.35">
      <c r="C55" s="1">
        <v>45906</v>
      </c>
      <c r="E55" t="s">
        <v>42</v>
      </c>
      <c r="F55" s="2">
        <v>-54.55</v>
      </c>
      <c r="G55" s="3">
        <v>0</v>
      </c>
      <c r="H55" s="3">
        <v>54.55</v>
      </c>
    </row>
    <row r="56" spans="3:8" x14ac:dyDescent="0.35">
      <c r="C56" s="1">
        <v>45936</v>
      </c>
      <c r="E56" t="s">
        <v>42</v>
      </c>
      <c r="F56" s="2">
        <v>-79.430000000000007</v>
      </c>
      <c r="G56" s="3">
        <v>0</v>
      </c>
      <c r="H56" s="3">
        <v>79.430000000000007</v>
      </c>
    </row>
    <row r="57" spans="3:8" x14ac:dyDescent="0.35">
      <c r="C57" s="1">
        <v>45759</v>
      </c>
      <c r="E57" t="s">
        <v>43</v>
      </c>
      <c r="F57" s="2">
        <v>-29.69</v>
      </c>
      <c r="G57" s="3">
        <v>0</v>
      </c>
      <c r="H57" s="3">
        <v>29.69</v>
      </c>
    </row>
    <row r="58" spans="3:8" x14ac:dyDescent="0.35">
      <c r="C58" s="1">
        <v>45801</v>
      </c>
      <c r="E58" t="s">
        <v>44</v>
      </c>
      <c r="F58" s="2">
        <v>-27.27</v>
      </c>
      <c r="G58" s="3">
        <v>0</v>
      </c>
      <c r="H58" s="3">
        <v>27.27</v>
      </c>
    </row>
    <row r="59" spans="3:8" x14ac:dyDescent="0.35">
      <c r="C59" s="1">
        <v>45829</v>
      </c>
      <c r="E59" t="s">
        <v>44</v>
      </c>
      <c r="F59" s="2">
        <v>-27.27</v>
      </c>
      <c r="G59" s="3">
        <v>0</v>
      </c>
      <c r="H59" s="3">
        <v>27.27</v>
      </c>
    </row>
    <row r="60" spans="3:8" x14ac:dyDescent="0.35">
      <c r="C60" s="1">
        <v>45836</v>
      </c>
      <c r="E60" t="s">
        <v>44</v>
      </c>
      <c r="F60" s="2">
        <v>-64.17</v>
      </c>
      <c r="G60" s="3">
        <v>0</v>
      </c>
      <c r="H60" s="3">
        <v>64.17</v>
      </c>
    </row>
    <row r="61" spans="3:8" x14ac:dyDescent="0.35">
      <c r="C61" s="1">
        <v>45842</v>
      </c>
      <c r="E61" t="s">
        <v>44</v>
      </c>
      <c r="F61" s="2">
        <v>-73.72</v>
      </c>
      <c r="G61" s="3">
        <v>0</v>
      </c>
      <c r="H61" s="3">
        <v>73.72</v>
      </c>
    </row>
    <row r="62" spans="3:8" x14ac:dyDescent="0.35">
      <c r="C62" s="1">
        <v>45878</v>
      </c>
      <c r="E62" t="s">
        <v>44</v>
      </c>
      <c r="F62" s="2">
        <v>-27.27</v>
      </c>
      <c r="G62" s="3">
        <v>0</v>
      </c>
      <c r="H62" s="3">
        <v>27.27</v>
      </c>
    </row>
    <row r="63" spans="3:8" x14ac:dyDescent="0.35">
      <c r="C63" s="1">
        <v>45927</v>
      </c>
      <c r="E63" t="s">
        <v>44</v>
      </c>
      <c r="F63" s="2">
        <v>-27.27</v>
      </c>
      <c r="G63" s="3">
        <v>0</v>
      </c>
      <c r="H63" s="3">
        <v>27.27</v>
      </c>
    </row>
    <row r="64" spans="3:8" x14ac:dyDescent="0.35">
      <c r="C64" s="1">
        <v>45792</v>
      </c>
      <c r="E64" t="s">
        <v>45</v>
      </c>
      <c r="F64" s="2">
        <v>-54.38</v>
      </c>
      <c r="G64" s="3">
        <v>0</v>
      </c>
      <c r="H64" s="3">
        <v>54.38</v>
      </c>
    </row>
    <row r="65" spans="3:8" x14ac:dyDescent="0.35">
      <c r="C65" s="1">
        <v>45768</v>
      </c>
      <c r="E65" t="s">
        <v>46</v>
      </c>
      <c r="F65" s="2">
        <v>-55.76</v>
      </c>
      <c r="G65" s="3">
        <v>0</v>
      </c>
      <c r="H65" s="3">
        <v>55.76</v>
      </c>
    </row>
    <row r="66" spans="3:8" x14ac:dyDescent="0.35">
      <c r="C66" s="1">
        <v>45931</v>
      </c>
      <c r="E66" t="s">
        <v>46</v>
      </c>
      <c r="F66" s="2">
        <v>-50.96</v>
      </c>
      <c r="G66" s="3">
        <v>0</v>
      </c>
      <c r="H66" s="3">
        <v>50.96</v>
      </c>
    </row>
    <row r="67" spans="3:8" x14ac:dyDescent="0.35">
      <c r="C67" s="1">
        <v>45922</v>
      </c>
      <c r="E67" t="s">
        <v>47</v>
      </c>
      <c r="F67" s="2">
        <v>-36.99</v>
      </c>
      <c r="G67" s="3">
        <v>0</v>
      </c>
      <c r="H67" s="3">
        <v>36.99</v>
      </c>
    </row>
    <row r="68" spans="3:8" x14ac:dyDescent="0.35">
      <c r="C68" s="1">
        <v>45938</v>
      </c>
      <c r="E68" t="s">
        <v>48</v>
      </c>
      <c r="F68" s="2">
        <v>-495.51</v>
      </c>
      <c r="G68" s="3">
        <v>0</v>
      </c>
      <c r="H68" s="3">
        <v>495.51</v>
      </c>
    </row>
    <row r="69" spans="3:8" x14ac:dyDescent="0.35">
      <c r="C69" s="1">
        <v>45872</v>
      </c>
      <c r="E69" t="s">
        <v>49</v>
      </c>
      <c r="F69" s="2">
        <v>-49.86</v>
      </c>
      <c r="G69" s="3">
        <v>0</v>
      </c>
      <c r="H69" s="3">
        <v>49.86</v>
      </c>
    </row>
    <row r="70" spans="3:8" x14ac:dyDescent="0.35">
      <c r="C70" s="1">
        <v>45900</v>
      </c>
      <c r="E70" t="s">
        <v>49</v>
      </c>
      <c r="F70" s="2">
        <v>-63.68</v>
      </c>
      <c r="G70" s="3">
        <v>0</v>
      </c>
      <c r="H70" s="3">
        <v>63.68</v>
      </c>
    </row>
    <row r="71" spans="3:8" x14ac:dyDescent="0.35">
      <c r="C71" s="1">
        <v>45907</v>
      </c>
      <c r="E71" t="s">
        <v>49</v>
      </c>
      <c r="F71" s="2">
        <v>-61.62</v>
      </c>
      <c r="G71" s="3">
        <v>0</v>
      </c>
      <c r="H71" s="3">
        <v>61.62</v>
      </c>
    </row>
    <row r="72" spans="3:8" x14ac:dyDescent="0.35">
      <c r="C72" s="1">
        <v>45935</v>
      </c>
      <c r="E72" t="s">
        <v>49</v>
      </c>
      <c r="F72" s="2">
        <v>-95.6</v>
      </c>
      <c r="G72" s="3">
        <v>0</v>
      </c>
      <c r="H72" s="3">
        <v>95.6</v>
      </c>
    </row>
    <row r="73" spans="3:8" x14ac:dyDescent="0.35">
      <c r="C73" s="1">
        <v>45915</v>
      </c>
      <c r="E73" t="s">
        <v>50</v>
      </c>
      <c r="F73" s="2">
        <v>-125.74</v>
      </c>
      <c r="G73" s="3">
        <v>0</v>
      </c>
      <c r="H73" s="3">
        <v>125.74</v>
      </c>
    </row>
    <row r="74" spans="3:8" x14ac:dyDescent="0.35">
      <c r="C74" s="1">
        <v>45839</v>
      </c>
      <c r="E74" t="s">
        <v>51</v>
      </c>
      <c r="F74" s="2">
        <v>-546.01</v>
      </c>
      <c r="G74" s="3">
        <v>0</v>
      </c>
      <c r="H74" s="3">
        <v>546.01</v>
      </c>
    </row>
    <row r="75" spans="3:8" x14ac:dyDescent="0.35">
      <c r="C75" s="1">
        <v>45915</v>
      </c>
      <c r="E75" t="s">
        <v>52</v>
      </c>
      <c r="F75" s="2">
        <v>-67.03</v>
      </c>
      <c r="G75" s="3">
        <v>0</v>
      </c>
      <c r="H75" s="3">
        <v>67.03</v>
      </c>
    </row>
    <row r="76" spans="3:8" x14ac:dyDescent="0.35">
      <c r="C76" s="1">
        <v>45915</v>
      </c>
      <c r="E76" t="s">
        <v>53</v>
      </c>
      <c r="F76" s="2">
        <v>-86.89</v>
      </c>
      <c r="G76" s="3">
        <v>0</v>
      </c>
      <c r="H76" s="3">
        <v>86.89</v>
      </c>
    </row>
    <row r="77" spans="3:8" x14ac:dyDescent="0.35">
      <c r="C77" s="1">
        <v>45916</v>
      </c>
      <c r="E77" t="s">
        <v>53</v>
      </c>
      <c r="F77" s="2">
        <v>86.89</v>
      </c>
      <c r="G77" s="3">
        <v>86.89</v>
      </c>
      <c r="H77" s="3">
        <v>0</v>
      </c>
    </row>
    <row r="78" spans="3:8" x14ac:dyDescent="0.35">
      <c r="C78" s="1">
        <v>45810</v>
      </c>
      <c r="E78" t="s">
        <v>54</v>
      </c>
      <c r="F78" s="2">
        <v>-19.72</v>
      </c>
      <c r="G78" s="3">
        <v>0</v>
      </c>
      <c r="H78" s="3">
        <v>19.72</v>
      </c>
    </row>
    <row r="79" spans="3:8" x14ac:dyDescent="0.35">
      <c r="C79" s="1">
        <v>45859</v>
      </c>
      <c r="E79" t="s">
        <v>54</v>
      </c>
      <c r="F79" s="2">
        <v>-9.99</v>
      </c>
      <c r="G79" s="3">
        <v>0</v>
      </c>
      <c r="H79" s="3">
        <v>9.99</v>
      </c>
    </row>
    <row r="80" spans="3:8" x14ac:dyDescent="0.35">
      <c r="C80" s="1">
        <v>45871</v>
      </c>
      <c r="E80" t="s">
        <v>54</v>
      </c>
      <c r="F80" s="2">
        <v>-9.99</v>
      </c>
      <c r="G80" s="3">
        <v>0</v>
      </c>
      <c r="H80" s="3">
        <v>9.99</v>
      </c>
    </row>
    <row r="81" spans="3:8" x14ac:dyDescent="0.35">
      <c r="C81" s="1">
        <v>45764</v>
      </c>
      <c r="E81" t="s">
        <v>55</v>
      </c>
      <c r="F81" s="2">
        <v>-14.62</v>
      </c>
      <c r="G81" s="3">
        <v>0</v>
      </c>
      <c r="H81" s="3">
        <v>14.62</v>
      </c>
    </row>
    <row r="82" spans="3:8" x14ac:dyDescent="0.35">
      <c r="C82" s="1">
        <v>45810</v>
      </c>
      <c r="E82" t="s">
        <v>56</v>
      </c>
      <c r="F82" s="2">
        <v>-121.61</v>
      </c>
      <c r="G82" s="3">
        <v>0</v>
      </c>
      <c r="H82" s="3">
        <v>121.61</v>
      </c>
    </row>
    <row r="83" spans="3:8" x14ac:dyDescent="0.35">
      <c r="C83" s="1">
        <v>45813</v>
      </c>
      <c r="E83" t="s">
        <v>56</v>
      </c>
      <c r="F83" s="2">
        <v>-59.57</v>
      </c>
      <c r="G83" s="3">
        <v>0</v>
      </c>
      <c r="H83" s="3">
        <v>59.57</v>
      </c>
    </row>
    <row r="84" spans="3:8" x14ac:dyDescent="0.35">
      <c r="C84" s="1">
        <v>45846</v>
      </c>
      <c r="E84" t="s">
        <v>56</v>
      </c>
      <c r="F84" s="2">
        <v>-17.29</v>
      </c>
      <c r="G84" s="3">
        <v>0</v>
      </c>
      <c r="H84" s="3">
        <v>17.29</v>
      </c>
    </row>
    <row r="85" spans="3:8" x14ac:dyDescent="0.35">
      <c r="C85" s="1">
        <v>45859</v>
      </c>
      <c r="E85" t="s">
        <v>56</v>
      </c>
      <c r="F85" s="2">
        <v>-53.48</v>
      </c>
      <c r="G85" s="3">
        <v>0</v>
      </c>
      <c r="H85" s="3">
        <v>53.48</v>
      </c>
    </row>
    <row r="86" spans="3:8" x14ac:dyDescent="0.35">
      <c r="C86" s="1">
        <v>45878</v>
      </c>
      <c r="E86" t="s">
        <v>56</v>
      </c>
      <c r="F86" s="2">
        <v>-64.819999999999993</v>
      </c>
      <c r="G86" s="3">
        <v>0</v>
      </c>
      <c r="H86" s="3">
        <v>64.819999999999993</v>
      </c>
    </row>
    <row r="87" spans="3:8" x14ac:dyDescent="0.35">
      <c r="C87" s="1">
        <v>45796</v>
      </c>
      <c r="E87" t="s">
        <v>57</v>
      </c>
      <c r="F87" s="2">
        <v>-106.91</v>
      </c>
      <c r="G87" s="3">
        <v>0</v>
      </c>
      <c r="H87" s="3">
        <v>106.91</v>
      </c>
    </row>
    <row r="88" spans="3:8" x14ac:dyDescent="0.35">
      <c r="C88" s="1">
        <v>45878</v>
      </c>
      <c r="E88" t="s">
        <v>58</v>
      </c>
      <c r="F88" s="2">
        <v>-92.55</v>
      </c>
      <c r="G88" s="3">
        <v>0</v>
      </c>
      <c r="H88" s="3">
        <v>92.55</v>
      </c>
    </row>
    <row r="89" spans="3:8" x14ac:dyDescent="0.35">
      <c r="C89" s="1">
        <v>45933</v>
      </c>
      <c r="E89" t="s">
        <v>59</v>
      </c>
      <c r="F89" s="2">
        <v>-18.7</v>
      </c>
      <c r="G89" s="3">
        <v>0</v>
      </c>
      <c r="H89" s="3">
        <v>18.7</v>
      </c>
    </row>
    <row r="90" spans="3:8" x14ac:dyDescent="0.35">
      <c r="C90" s="1">
        <v>45858</v>
      </c>
      <c r="E90" t="s">
        <v>60</v>
      </c>
      <c r="F90" s="2">
        <v>-77.239999999999995</v>
      </c>
      <c r="G90" s="3">
        <v>0</v>
      </c>
      <c r="H90" s="3">
        <v>77.239999999999995</v>
      </c>
    </row>
    <row r="91" spans="3:8" x14ac:dyDescent="0.35">
      <c r="C91" s="1">
        <v>45915</v>
      </c>
      <c r="E91" t="s">
        <v>61</v>
      </c>
      <c r="F91" s="2">
        <v>-9.59</v>
      </c>
      <c r="G91" s="3">
        <v>0</v>
      </c>
      <c r="H91" s="3">
        <v>9.59</v>
      </c>
    </row>
    <row r="92" spans="3:8" x14ac:dyDescent="0.35">
      <c r="C92" s="1">
        <v>45829</v>
      </c>
      <c r="E92" t="s">
        <v>62</v>
      </c>
      <c r="F92" s="2">
        <v>-18.309999999999999</v>
      </c>
      <c r="G92" s="3">
        <v>0</v>
      </c>
      <c r="H92" s="3">
        <v>18.309999999999999</v>
      </c>
    </row>
    <row r="93" spans="3:8" x14ac:dyDescent="0.35">
      <c r="C93" s="1">
        <v>45829</v>
      </c>
      <c r="E93" t="s">
        <v>62</v>
      </c>
      <c r="F93" s="2">
        <v>-21.53</v>
      </c>
      <c r="G93" s="3">
        <v>0</v>
      </c>
      <c r="H93" s="3">
        <v>21.53</v>
      </c>
    </row>
    <row r="94" spans="3:8" x14ac:dyDescent="0.35">
      <c r="C94" s="1">
        <v>45857</v>
      </c>
      <c r="E94" t="s">
        <v>62</v>
      </c>
      <c r="F94" s="2">
        <v>-16.13</v>
      </c>
      <c r="G94" s="3">
        <v>0</v>
      </c>
      <c r="H94" s="3">
        <v>16.13</v>
      </c>
    </row>
    <row r="95" spans="3:8" x14ac:dyDescent="0.35">
      <c r="C95" s="1">
        <v>45857</v>
      </c>
      <c r="E95" t="s">
        <v>62</v>
      </c>
      <c r="F95" s="2">
        <v>-38.75</v>
      </c>
      <c r="G95" s="3">
        <v>0</v>
      </c>
      <c r="H95" s="3">
        <v>38.75</v>
      </c>
    </row>
    <row r="96" spans="3:8" x14ac:dyDescent="0.35">
      <c r="C96" s="1">
        <v>45878</v>
      </c>
      <c r="E96" t="s">
        <v>62</v>
      </c>
      <c r="F96" s="2">
        <v>-19.98</v>
      </c>
      <c r="G96" s="3">
        <v>0</v>
      </c>
      <c r="H96" s="3">
        <v>19.98</v>
      </c>
    </row>
    <row r="97" spans="3:8" x14ac:dyDescent="0.35">
      <c r="C97" s="1">
        <v>45852</v>
      </c>
      <c r="E97" t="s">
        <v>63</v>
      </c>
      <c r="F97" s="2">
        <v>-116.08</v>
      </c>
      <c r="G97" s="3">
        <v>0</v>
      </c>
      <c r="H97" s="3">
        <v>116.08</v>
      </c>
    </row>
    <row r="98" spans="3:8" x14ac:dyDescent="0.35">
      <c r="C98" s="1">
        <v>45849</v>
      </c>
      <c r="E98" t="s">
        <v>64</v>
      </c>
      <c r="F98" s="2">
        <v>-932.01</v>
      </c>
      <c r="G98" s="3">
        <v>0</v>
      </c>
      <c r="H98" s="3">
        <v>932.01</v>
      </c>
    </row>
    <row r="99" spans="3:8" x14ac:dyDescent="0.35">
      <c r="C99" s="1">
        <v>45818</v>
      </c>
      <c r="E99" t="s">
        <v>65</v>
      </c>
      <c r="F99" s="2">
        <v>-73.95</v>
      </c>
      <c r="G99" s="3">
        <v>0</v>
      </c>
      <c r="H99" s="3">
        <v>73.95</v>
      </c>
    </row>
    <row r="100" spans="3:8" x14ac:dyDescent="0.35">
      <c r="C100" s="1">
        <v>45859</v>
      </c>
      <c r="E100" t="s">
        <v>65</v>
      </c>
      <c r="F100" s="2">
        <v>-36.979999999999997</v>
      </c>
      <c r="G100" s="3">
        <v>0</v>
      </c>
      <c r="H100" s="3">
        <v>36.979999999999997</v>
      </c>
    </row>
    <row r="101" spans="3:8" x14ac:dyDescent="0.35">
      <c r="C101" s="1">
        <v>45925</v>
      </c>
      <c r="E101" t="s">
        <v>66</v>
      </c>
      <c r="F101" s="2">
        <v>-118.75</v>
      </c>
      <c r="G101" s="3">
        <v>0</v>
      </c>
      <c r="H101" s="3">
        <v>118.75</v>
      </c>
    </row>
    <row r="102" spans="3:8" x14ac:dyDescent="0.35">
      <c r="C102" s="1">
        <v>45759</v>
      </c>
      <c r="E102" t="s">
        <v>67</v>
      </c>
      <c r="F102" s="2">
        <v>-200</v>
      </c>
      <c r="G102" s="3">
        <v>0</v>
      </c>
      <c r="H102" s="3">
        <v>200</v>
      </c>
    </row>
    <row r="103" spans="3:8" x14ac:dyDescent="0.35">
      <c r="C103" s="1">
        <v>45925</v>
      </c>
      <c r="E103" t="s">
        <v>68</v>
      </c>
      <c r="F103" s="2">
        <v>-12.23</v>
      </c>
      <c r="G103" s="3">
        <v>0</v>
      </c>
      <c r="H103" s="3">
        <v>12.23</v>
      </c>
    </row>
    <row r="104" spans="3:8" x14ac:dyDescent="0.35">
      <c r="C104" s="1">
        <v>45919</v>
      </c>
      <c r="E104" t="s">
        <v>69</v>
      </c>
      <c r="F104" s="2">
        <v>-27.81</v>
      </c>
      <c r="G104" s="3">
        <v>0</v>
      </c>
      <c r="H104" s="3">
        <v>27.81</v>
      </c>
    </row>
    <row r="105" spans="3:8" x14ac:dyDescent="0.35">
      <c r="C105" s="1">
        <v>45914</v>
      </c>
      <c r="E105" t="s">
        <v>70</v>
      </c>
      <c r="F105" s="2">
        <v>-101.32</v>
      </c>
      <c r="G105" s="3">
        <v>0</v>
      </c>
      <c r="H105" s="3">
        <v>101.32</v>
      </c>
    </row>
    <row r="106" spans="3:8" x14ac:dyDescent="0.35">
      <c r="C106" s="1">
        <v>45942</v>
      </c>
      <c r="E106" t="s">
        <v>70</v>
      </c>
      <c r="F106" s="2">
        <v>-23.63</v>
      </c>
      <c r="G106" s="3">
        <v>0</v>
      </c>
      <c r="H106" s="3">
        <v>23.63</v>
      </c>
    </row>
    <row r="107" spans="3:8" x14ac:dyDescent="0.35">
      <c r="C107" s="1">
        <v>45883</v>
      </c>
      <c r="E107" t="s">
        <v>71</v>
      </c>
      <c r="F107" s="2">
        <v>-72.94</v>
      </c>
      <c r="G107" s="3">
        <v>0</v>
      </c>
      <c r="H107" s="3">
        <v>72.94</v>
      </c>
    </row>
    <row r="108" spans="3:8" x14ac:dyDescent="0.35">
      <c r="C108" s="1">
        <v>45920</v>
      </c>
      <c r="E108" t="s">
        <v>71</v>
      </c>
      <c r="F108" s="2">
        <v>-48.08</v>
      </c>
      <c r="G108" s="3">
        <v>0</v>
      </c>
      <c r="H108" s="3">
        <v>48.08</v>
      </c>
    </row>
    <row r="109" spans="3:8" x14ac:dyDescent="0.35">
      <c r="C109" s="1">
        <v>45942</v>
      </c>
      <c r="E109" t="s">
        <v>72</v>
      </c>
      <c r="F109" s="2">
        <v>-62.83</v>
      </c>
      <c r="G109" s="3">
        <v>0</v>
      </c>
      <c r="H109" s="3">
        <v>62.83</v>
      </c>
    </row>
    <row r="110" spans="3:8" x14ac:dyDescent="0.35">
      <c r="C110" s="1">
        <v>45921</v>
      </c>
      <c r="E110" t="s">
        <v>73</v>
      </c>
      <c r="F110" s="2">
        <v>-63.14</v>
      </c>
      <c r="G110" s="3">
        <v>0</v>
      </c>
      <c r="H110" s="3">
        <v>63.14</v>
      </c>
    </row>
    <row r="111" spans="3:8" x14ac:dyDescent="0.35">
      <c r="C111" s="1">
        <v>45772</v>
      </c>
      <c r="E111" t="s">
        <v>74</v>
      </c>
      <c r="F111" s="2">
        <v>-73.819999999999993</v>
      </c>
      <c r="G111" s="3">
        <v>0</v>
      </c>
      <c r="H111" s="3">
        <v>73.819999999999993</v>
      </c>
    </row>
    <row r="112" spans="3:8" x14ac:dyDescent="0.35">
      <c r="C112" s="1">
        <v>45798</v>
      </c>
      <c r="E112" t="s">
        <v>75</v>
      </c>
      <c r="F112" s="2">
        <v>-2001.09</v>
      </c>
      <c r="G112" s="3">
        <v>0</v>
      </c>
      <c r="H112" s="3">
        <v>2001.09</v>
      </c>
    </row>
    <row r="113" spans="3:8" x14ac:dyDescent="0.35">
      <c r="C113" s="1">
        <v>45775</v>
      </c>
      <c r="E113" t="s">
        <v>76</v>
      </c>
      <c r="F113" s="2">
        <v>-94</v>
      </c>
      <c r="G113" s="3">
        <v>0</v>
      </c>
      <c r="H113" s="3">
        <v>94</v>
      </c>
    </row>
    <row r="114" spans="3:8" x14ac:dyDescent="0.35">
      <c r="C114" s="1">
        <v>45922</v>
      </c>
      <c r="E114" t="s">
        <v>76</v>
      </c>
      <c r="F114" s="2">
        <v>-175</v>
      </c>
      <c r="G114" s="3">
        <v>0</v>
      </c>
      <c r="H114" s="3">
        <v>175</v>
      </c>
    </row>
    <row r="115" spans="3:8" x14ac:dyDescent="0.35">
      <c r="C115" s="1">
        <v>45922</v>
      </c>
      <c r="E115" t="s">
        <v>76</v>
      </c>
      <c r="F115" s="2">
        <v>-123.88</v>
      </c>
      <c r="G115" s="3">
        <v>0</v>
      </c>
      <c r="H115" s="3">
        <v>123.88</v>
      </c>
    </row>
    <row r="116" spans="3:8" x14ac:dyDescent="0.35">
      <c r="C116" s="1">
        <v>45923</v>
      </c>
      <c r="E116" t="s">
        <v>76</v>
      </c>
      <c r="F116" s="2">
        <v>-39.49</v>
      </c>
      <c r="G116" s="3">
        <v>0</v>
      </c>
      <c r="H116" s="3">
        <v>39.49</v>
      </c>
    </row>
    <row r="117" spans="3:8" x14ac:dyDescent="0.35">
      <c r="C117" s="1">
        <v>45923</v>
      </c>
      <c r="E117" t="s">
        <v>76</v>
      </c>
      <c r="F117" s="2">
        <v>-109.21</v>
      </c>
      <c r="G117" s="3">
        <v>0</v>
      </c>
      <c r="H117" s="3">
        <v>109.21</v>
      </c>
    </row>
    <row r="118" spans="3:8" x14ac:dyDescent="0.35">
      <c r="C118" s="1">
        <v>45850</v>
      </c>
      <c r="E118" t="s">
        <v>77</v>
      </c>
      <c r="F118" s="2">
        <v>-16.32</v>
      </c>
      <c r="G118" s="3">
        <v>0</v>
      </c>
      <c r="H118" s="3">
        <v>16.32</v>
      </c>
    </row>
    <row r="119" spans="3:8" x14ac:dyDescent="0.35">
      <c r="C119" s="1">
        <v>45913</v>
      </c>
      <c r="E119" t="s">
        <v>77</v>
      </c>
      <c r="F119" s="2">
        <v>-54.94</v>
      </c>
      <c r="G119" s="3">
        <v>0</v>
      </c>
      <c r="H119" s="3">
        <v>54.94</v>
      </c>
    </row>
    <row r="120" spans="3:8" x14ac:dyDescent="0.35">
      <c r="C120" s="1">
        <v>45920</v>
      </c>
      <c r="E120" t="s">
        <v>77</v>
      </c>
      <c r="F120" s="2">
        <v>-35.549999999999997</v>
      </c>
      <c r="G120" s="3">
        <v>0</v>
      </c>
      <c r="H120" s="3">
        <v>35.549999999999997</v>
      </c>
    </row>
    <row r="121" spans="3:8" x14ac:dyDescent="0.35">
      <c r="C121" s="1">
        <v>45877</v>
      </c>
      <c r="E121" t="s">
        <v>78</v>
      </c>
      <c r="F121" s="2">
        <v>-48.98</v>
      </c>
      <c r="G121" s="3">
        <v>0</v>
      </c>
      <c r="H121" s="3">
        <v>48.98</v>
      </c>
    </row>
    <row r="122" spans="3:8" x14ac:dyDescent="0.35">
      <c r="C122" s="1">
        <v>45812</v>
      </c>
      <c r="E122" t="s">
        <v>79</v>
      </c>
      <c r="F122" s="2">
        <v>-19.37</v>
      </c>
      <c r="G122" s="3">
        <v>0</v>
      </c>
      <c r="H122" s="3">
        <v>19.37</v>
      </c>
    </row>
    <row r="123" spans="3:8" x14ac:dyDescent="0.35">
      <c r="C123" s="1">
        <v>45914</v>
      </c>
      <c r="E123" t="s">
        <v>80</v>
      </c>
      <c r="F123" s="2">
        <v>-43.08</v>
      </c>
      <c r="G123" s="3">
        <v>0</v>
      </c>
      <c r="H123" s="3">
        <v>43.08</v>
      </c>
    </row>
    <row r="124" spans="3:8" x14ac:dyDescent="0.35">
      <c r="C124" s="1">
        <v>45773</v>
      </c>
      <c r="E124" t="s">
        <v>81</v>
      </c>
      <c r="F124" s="2">
        <v>379.85</v>
      </c>
      <c r="G124" s="3">
        <v>379.85</v>
      </c>
      <c r="H124" s="3">
        <v>0</v>
      </c>
    </row>
    <row r="125" spans="3:8" x14ac:dyDescent="0.35">
      <c r="C125" s="1">
        <v>45811</v>
      </c>
      <c r="E125" t="s">
        <v>81</v>
      </c>
      <c r="F125" s="2">
        <v>4771.6400000000003</v>
      </c>
      <c r="G125" s="3">
        <v>4771.6400000000003</v>
      </c>
      <c r="H125" s="3">
        <v>0</v>
      </c>
    </row>
    <row r="126" spans="3:8" x14ac:dyDescent="0.35">
      <c r="C126" s="1">
        <v>45841</v>
      </c>
      <c r="E126" t="s">
        <v>81</v>
      </c>
      <c r="F126" s="2">
        <v>600</v>
      </c>
      <c r="G126" s="3">
        <v>600</v>
      </c>
      <c r="H126" s="3">
        <v>0</v>
      </c>
    </row>
    <row r="127" spans="3:8" x14ac:dyDescent="0.35">
      <c r="C127" s="1">
        <v>45857</v>
      </c>
      <c r="E127" t="s">
        <v>81</v>
      </c>
      <c r="F127" s="2">
        <v>500</v>
      </c>
      <c r="G127" s="3">
        <v>500</v>
      </c>
      <c r="H127" s="3">
        <v>0</v>
      </c>
    </row>
    <row r="128" spans="3:8" x14ac:dyDescent="0.35">
      <c r="C128" s="1">
        <v>45867</v>
      </c>
      <c r="E128" t="s">
        <v>81</v>
      </c>
      <c r="F128" s="2">
        <v>1000</v>
      </c>
      <c r="G128" s="3">
        <v>1000</v>
      </c>
      <c r="H128" s="3">
        <v>0</v>
      </c>
    </row>
    <row r="129" spans="3:8" x14ac:dyDescent="0.35">
      <c r="C129" s="1">
        <v>45884</v>
      </c>
      <c r="E129" t="s">
        <v>81</v>
      </c>
      <c r="F129" s="2">
        <v>1000</v>
      </c>
      <c r="G129" s="3">
        <v>1000</v>
      </c>
      <c r="H129" s="3">
        <v>0</v>
      </c>
    </row>
    <row r="130" spans="3:8" x14ac:dyDescent="0.35">
      <c r="C130" s="1">
        <v>45890</v>
      </c>
      <c r="E130" t="s">
        <v>81</v>
      </c>
      <c r="F130" s="2">
        <v>1000</v>
      </c>
      <c r="G130" s="3">
        <v>1000</v>
      </c>
      <c r="H130" s="3">
        <v>0</v>
      </c>
    </row>
    <row r="131" spans="3:8" x14ac:dyDescent="0.35">
      <c r="C131" s="1">
        <v>45903</v>
      </c>
      <c r="E131" t="s">
        <v>81</v>
      </c>
      <c r="F131" s="2">
        <v>962.05</v>
      </c>
      <c r="G131" s="3">
        <v>962.05</v>
      </c>
      <c r="H131" s="3">
        <v>0</v>
      </c>
    </row>
    <row r="132" spans="3:8" x14ac:dyDescent="0.35">
      <c r="C132" s="1">
        <v>45920</v>
      </c>
      <c r="E132" t="s">
        <v>81</v>
      </c>
      <c r="F132" s="2">
        <v>2512.23</v>
      </c>
      <c r="G132" s="3">
        <v>2512.23</v>
      </c>
      <c r="H132" s="3">
        <v>0</v>
      </c>
    </row>
    <row r="133" spans="3:8" x14ac:dyDescent="0.35">
      <c r="C133" s="1">
        <v>45947</v>
      </c>
      <c r="E133" t="s">
        <v>81</v>
      </c>
      <c r="F133" s="2">
        <v>2000</v>
      </c>
      <c r="G133" s="3">
        <v>2000</v>
      </c>
      <c r="H133" s="3">
        <v>0</v>
      </c>
    </row>
    <row r="134" spans="3:8" x14ac:dyDescent="0.35">
      <c r="C134" s="1">
        <v>45839</v>
      </c>
      <c r="E134" t="s">
        <v>82</v>
      </c>
      <c r="F134" s="2">
        <v>920.7</v>
      </c>
      <c r="G134" s="3">
        <v>920.7</v>
      </c>
      <c r="H134" s="3">
        <v>0</v>
      </c>
    </row>
    <row r="135" spans="3:8" x14ac:dyDescent="0.35">
      <c r="C135" s="1">
        <v>45875</v>
      </c>
      <c r="E135" t="s">
        <v>82</v>
      </c>
      <c r="F135" s="2">
        <v>808.95</v>
      </c>
      <c r="G135" s="3">
        <v>808.95</v>
      </c>
      <c r="H135" s="3">
        <v>0</v>
      </c>
    </row>
    <row r="136" spans="3:8" x14ac:dyDescent="0.35">
      <c r="C136" s="1">
        <v>45938</v>
      </c>
      <c r="E136" t="s">
        <v>82</v>
      </c>
      <c r="F136" s="2">
        <v>2000</v>
      </c>
      <c r="G136" s="3">
        <v>2000</v>
      </c>
      <c r="H136" s="3">
        <v>0</v>
      </c>
    </row>
    <row r="137" spans="3:8" x14ac:dyDescent="0.35">
      <c r="C137" s="1">
        <v>45914</v>
      </c>
      <c r="E137" t="s">
        <v>83</v>
      </c>
      <c r="F137" s="2">
        <v>-7.53</v>
      </c>
      <c r="G137" s="3">
        <v>0</v>
      </c>
      <c r="H137" s="3">
        <v>7.53</v>
      </c>
    </row>
    <row r="138" spans="3:8" x14ac:dyDescent="0.35">
      <c r="C138" s="1">
        <v>45942</v>
      </c>
      <c r="E138" t="s">
        <v>83</v>
      </c>
      <c r="F138" s="2">
        <v>-20.010000000000002</v>
      </c>
      <c r="G138" s="3">
        <v>0</v>
      </c>
      <c r="H138" s="3">
        <v>20.010000000000002</v>
      </c>
    </row>
    <row r="139" spans="3:8" x14ac:dyDescent="0.35">
      <c r="C139" s="1">
        <v>45942</v>
      </c>
      <c r="E139" t="s">
        <v>83</v>
      </c>
      <c r="F139" s="2">
        <v>-21.53</v>
      </c>
      <c r="G139" s="3">
        <v>0</v>
      </c>
      <c r="H139" s="3">
        <v>21.53</v>
      </c>
    </row>
    <row r="140" spans="3:8" x14ac:dyDescent="0.35">
      <c r="C140" s="1">
        <v>45827</v>
      </c>
      <c r="E140" t="s">
        <v>84</v>
      </c>
      <c r="F140" s="2">
        <v>-462.79</v>
      </c>
      <c r="G140" s="3">
        <v>0</v>
      </c>
      <c r="H140" s="3">
        <v>462.79</v>
      </c>
    </row>
    <row r="141" spans="3:8" x14ac:dyDescent="0.35">
      <c r="C141" s="1">
        <v>45946</v>
      </c>
      <c r="E141" t="s">
        <v>84</v>
      </c>
      <c r="F141" s="2">
        <v>-311.94</v>
      </c>
      <c r="G141" s="3">
        <v>0</v>
      </c>
      <c r="H141" s="3">
        <v>311.94</v>
      </c>
    </row>
    <row r="142" spans="3:8" x14ac:dyDescent="0.35">
      <c r="C142" s="1">
        <v>45856</v>
      </c>
      <c r="E142" t="s">
        <v>85</v>
      </c>
      <c r="F142" s="2">
        <v>-153.52000000000001</v>
      </c>
      <c r="G142" s="3">
        <v>0</v>
      </c>
      <c r="H142" s="3">
        <v>153.52000000000001</v>
      </c>
    </row>
    <row r="143" spans="3:8" x14ac:dyDescent="0.35">
      <c r="C143" s="1">
        <v>45775</v>
      </c>
      <c r="E143" t="s">
        <v>86</v>
      </c>
      <c r="F143" s="2">
        <v>-216.03</v>
      </c>
      <c r="G143" s="3">
        <v>0</v>
      </c>
      <c r="H143" s="3">
        <v>216.03</v>
      </c>
    </row>
    <row r="144" spans="3:8" x14ac:dyDescent="0.35">
      <c r="C144" s="1">
        <v>45921</v>
      </c>
      <c r="E144" t="s">
        <v>87</v>
      </c>
      <c r="F144" s="2">
        <v>-288.04000000000002</v>
      </c>
      <c r="G144" s="3">
        <v>0</v>
      </c>
      <c r="H144" s="3">
        <v>288.04000000000002</v>
      </c>
    </row>
    <row r="145" spans="3:8" x14ac:dyDescent="0.35">
      <c r="C145" s="1">
        <v>45921</v>
      </c>
      <c r="E145" t="s">
        <v>87</v>
      </c>
      <c r="F145" s="2">
        <v>-144.02000000000001</v>
      </c>
      <c r="G145" s="3">
        <v>0</v>
      </c>
      <c r="H145" s="3">
        <v>144.02000000000001</v>
      </c>
    </row>
    <row r="146" spans="3:8" x14ac:dyDescent="0.35">
      <c r="C146" s="1">
        <v>45923</v>
      </c>
      <c r="E146" t="s">
        <v>88</v>
      </c>
      <c r="F146" s="2">
        <v>-10.39</v>
      </c>
      <c r="G146" s="3">
        <v>0</v>
      </c>
      <c r="H146" s="3">
        <v>10.39</v>
      </c>
    </row>
    <row r="147" spans="3:8" x14ac:dyDescent="0.35">
      <c r="C147" s="1">
        <v>45813</v>
      </c>
      <c r="E147" t="s">
        <v>89</v>
      </c>
      <c r="F147" s="2">
        <v>-5.87</v>
      </c>
      <c r="G147" s="3">
        <v>0</v>
      </c>
      <c r="H147" s="3">
        <v>5.87</v>
      </c>
    </row>
    <row r="148" spans="3:8" x14ac:dyDescent="0.35">
      <c r="C148" s="1">
        <v>45926</v>
      </c>
      <c r="E148" t="s">
        <v>90</v>
      </c>
      <c r="F148" s="2">
        <v>-72.12</v>
      </c>
      <c r="G148" s="3">
        <v>0</v>
      </c>
      <c r="H148" s="3">
        <v>72.12</v>
      </c>
    </row>
    <row r="149" spans="3:8" x14ac:dyDescent="0.35">
      <c r="C149" s="1">
        <v>45884</v>
      </c>
      <c r="E149" t="s">
        <v>91</v>
      </c>
      <c r="F149" s="2">
        <v>-37.049999999999997</v>
      </c>
      <c r="G149" s="3">
        <v>0</v>
      </c>
      <c r="H149" s="3">
        <v>37.049999999999997</v>
      </c>
    </row>
    <row r="150" spans="3:8" x14ac:dyDescent="0.35">
      <c r="C150" s="1">
        <v>45885</v>
      </c>
      <c r="E150" t="s">
        <v>91</v>
      </c>
      <c r="F150" s="2">
        <v>-120.66</v>
      </c>
      <c r="G150" s="3">
        <v>0</v>
      </c>
      <c r="H150" s="3">
        <v>120.66</v>
      </c>
    </row>
    <row r="151" spans="3:8" x14ac:dyDescent="0.35">
      <c r="C151" s="1">
        <v>45815</v>
      </c>
      <c r="E151" t="s">
        <v>92</v>
      </c>
      <c r="F151" s="2">
        <v>-67.94</v>
      </c>
      <c r="G151" s="3">
        <v>0</v>
      </c>
      <c r="H151" s="3">
        <v>67.94</v>
      </c>
    </row>
    <row r="152" spans="3:8" x14ac:dyDescent="0.35">
      <c r="C152" s="1">
        <v>45923</v>
      </c>
      <c r="E152" t="s">
        <v>92</v>
      </c>
      <c r="F152" s="2">
        <v>-76.459999999999994</v>
      </c>
      <c r="G152" s="3">
        <v>0</v>
      </c>
      <c r="H152" s="3">
        <v>76.459999999999994</v>
      </c>
    </row>
    <row r="153" spans="3:8" x14ac:dyDescent="0.35">
      <c r="C153" s="1">
        <v>45939</v>
      </c>
      <c r="E153" t="s">
        <v>92</v>
      </c>
      <c r="F153" s="2">
        <v>-81.900000000000006</v>
      </c>
      <c r="G153" s="3">
        <v>0</v>
      </c>
      <c r="H153" s="3">
        <v>81.900000000000006</v>
      </c>
    </row>
    <row r="154" spans="3:8" x14ac:dyDescent="0.35">
      <c r="C154" s="1">
        <v>45883</v>
      </c>
      <c r="E154" t="s">
        <v>93</v>
      </c>
      <c r="F154" s="2">
        <v>-80.040000000000006</v>
      </c>
      <c r="G154" s="3">
        <v>0</v>
      </c>
      <c r="H154" s="3">
        <v>80.040000000000006</v>
      </c>
    </row>
    <row r="155" spans="3:8" x14ac:dyDescent="0.35">
      <c r="C155" s="1">
        <v>45771</v>
      </c>
      <c r="E155" t="s">
        <v>94</v>
      </c>
      <c r="F155" s="2">
        <v>-80</v>
      </c>
      <c r="G155" s="3">
        <v>0</v>
      </c>
      <c r="H155" s="3">
        <v>80</v>
      </c>
    </row>
    <row r="156" spans="3:8" x14ac:dyDescent="0.35">
      <c r="C156" s="1">
        <v>45841</v>
      </c>
      <c r="E156" t="s">
        <v>95</v>
      </c>
      <c r="F156" s="2">
        <v>-68.45</v>
      </c>
      <c r="G156" s="3">
        <v>0</v>
      </c>
      <c r="H156" s="3">
        <v>68.45</v>
      </c>
    </row>
    <row r="157" spans="3:8" x14ac:dyDescent="0.35">
      <c r="C157" s="1">
        <v>45793</v>
      </c>
      <c r="E157" t="s">
        <v>96</v>
      </c>
      <c r="F157" s="2">
        <v>-175</v>
      </c>
      <c r="G157" s="3">
        <v>0</v>
      </c>
      <c r="H157" s="3">
        <v>175</v>
      </c>
    </row>
    <row r="158" spans="3:8" x14ac:dyDescent="0.35">
      <c r="C158" s="1">
        <v>45818</v>
      </c>
      <c r="E158" t="s">
        <v>97</v>
      </c>
      <c r="F158" s="2">
        <v>-53.91</v>
      </c>
      <c r="G158" s="3">
        <v>0</v>
      </c>
      <c r="H158" s="3">
        <v>53.91</v>
      </c>
    </row>
    <row r="159" spans="3:8" x14ac:dyDescent="0.35">
      <c r="C159" s="1">
        <v>45916</v>
      </c>
      <c r="E159" t="s">
        <v>98</v>
      </c>
      <c r="F159" s="2">
        <v>-122.04</v>
      </c>
      <c r="G159" s="3">
        <v>0</v>
      </c>
      <c r="H159" s="3">
        <v>122.04</v>
      </c>
    </row>
    <row r="160" spans="3:8" x14ac:dyDescent="0.35">
      <c r="C160" s="1">
        <v>45916</v>
      </c>
      <c r="E160" t="s">
        <v>98</v>
      </c>
      <c r="F160" s="2">
        <v>-122.04</v>
      </c>
      <c r="G160" s="3">
        <v>0</v>
      </c>
      <c r="H160" s="3">
        <v>122.04</v>
      </c>
    </row>
    <row r="161" spans="3:8" x14ac:dyDescent="0.35">
      <c r="C161" s="1">
        <v>45916</v>
      </c>
      <c r="E161" t="s">
        <v>98</v>
      </c>
      <c r="F161" s="2">
        <v>-122.04</v>
      </c>
      <c r="G161" s="3">
        <v>0</v>
      </c>
      <c r="H161" s="3">
        <v>122.04</v>
      </c>
    </row>
    <row r="162" spans="3:8" x14ac:dyDescent="0.35">
      <c r="C162" s="1">
        <v>45916</v>
      </c>
      <c r="E162" t="s">
        <v>99</v>
      </c>
      <c r="F162" s="2">
        <v>-122.04</v>
      </c>
      <c r="G162" s="3">
        <v>0</v>
      </c>
      <c r="H162" s="3">
        <v>122.04</v>
      </c>
    </row>
    <row r="163" spans="3:8" x14ac:dyDescent="0.35">
      <c r="C163" s="1">
        <v>45908</v>
      </c>
      <c r="E163" t="s">
        <v>100</v>
      </c>
      <c r="F163" s="2">
        <v>-147.52000000000001</v>
      </c>
      <c r="G163" s="3">
        <v>0</v>
      </c>
      <c r="H163" s="3">
        <v>147.52000000000001</v>
      </c>
    </row>
    <row r="164" spans="3:8" x14ac:dyDescent="0.35">
      <c r="C164" s="1">
        <v>45797</v>
      </c>
      <c r="E164" t="s">
        <v>101</v>
      </c>
      <c r="F164" s="2">
        <v>-145.51</v>
      </c>
      <c r="G164" s="3">
        <v>0</v>
      </c>
      <c r="H164" s="3">
        <v>145.51</v>
      </c>
    </row>
    <row r="165" spans="3:8" x14ac:dyDescent="0.35">
      <c r="C165" s="1">
        <v>45797</v>
      </c>
      <c r="E165" t="s">
        <v>101</v>
      </c>
      <c r="F165" s="2">
        <v>-163.93</v>
      </c>
      <c r="G165" s="3">
        <v>0</v>
      </c>
      <c r="H165" s="3">
        <v>163.93</v>
      </c>
    </row>
    <row r="166" spans="3:8" x14ac:dyDescent="0.35">
      <c r="C166" s="1">
        <v>45812</v>
      </c>
      <c r="E166" t="s">
        <v>101</v>
      </c>
      <c r="F166" s="2">
        <v>-46.12</v>
      </c>
      <c r="G166" s="3">
        <v>0</v>
      </c>
      <c r="H166" s="3">
        <v>46.12</v>
      </c>
    </row>
    <row r="167" spans="3:8" x14ac:dyDescent="0.35">
      <c r="C167" s="1">
        <v>45817</v>
      </c>
      <c r="E167" t="s">
        <v>101</v>
      </c>
      <c r="F167" s="2">
        <v>-140.99</v>
      </c>
      <c r="G167" s="3">
        <v>0</v>
      </c>
      <c r="H167" s="3">
        <v>140.99</v>
      </c>
    </row>
    <row r="168" spans="3:8" x14ac:dyDescent="0.35">
      <c r="C168" s="1">
        <v>45818</v>
      </c>
      <c r="E168" t="s">
        <v>101</v>
      </c>
      <c r="F168" s="2">
        <v>-62.37</v>
      </c>
      <c r="G168" s="3">
        <v>0</v>
      </c>
      <c r="H168" s="3">
        <v>62.37</v>
      </c>
    </row>
    <row r="169" spans="3:8" x14ac:dyDescent="0.35">
      <c r="C169" s="1">
        <v>45878</v>
      </c>
      <c r="E169" t="s">
        <v>101</v>
      </c>
      <c r="F169" s="2">
        <v>-104.58</v>
      </c>
      <c r="G169" s="3">
        <v>0</v>
      </c>
      <c r="H169" s="3">
        <v>104.58</v>
      </c>
    </row>
    <row r="170" spans="3:8" x14ac:dyDescent="0.35">
      <c r="C170" s="1">
        <v>45927</v>
      </c>
      <c r="E170" t="s">
        <v>101</v>
      </c>
      <c r="F170" s="2">
        <v>-13.58</v>
      </c>
      <c r="G170" s="3">
        <v>0</v>
      </c>
      <c r="H170" s="3">
        <v>13.58</v>
      </c>
    </row>
    <row r="171" spans="3:8" x14ac:dyDescent="0.35">
      <c r="C171" s="1">
        <v>45944</v>
      </c>
      <c r="E171" t="s">
        <v>102</v>
      </c>
      <c r="F171" s="2">
        <v>-30.41</v>
      </c>
      <c r="G171" s="3">
        <v>0</v>
      </c>
      <c r="H171" s="3">
        <v>30.41</v>
      </c>
    </row>
    <row r="172" spans="3:8" x14ac:dyDescent="0.35">
      <c r="C172" s="1">
        <v>45786</v>
      </c>
      <c r="E172" t="s">
        <v>103</v>
      </c>
      <c r="F172" s="2">
        <v>-26.91</v>
      </c>
      <c r="G172" s="3">
        <v>0</v>
      </c>
      <c r="H172" s="3">
        <v>26.91</v>
      </c>
    </row>
    <row r="173" spans="3:8" x14ac:dyDescent="0.35">
      <c r="C173" s="1">
        <v>45812</v>
      </c>
      <c r="E173" t="s">
        <v>103</v>
      </c>
      <c r="F173" s="2">
        <v>-89.27</v>
      </c>
      <c r="G173" s="3">
        <v>0</v>
      </c>
      <c r="H173" s="3">
        <v>89.27</v>
      </c>
    </row>
    <row r="174" spans="3:8" x14ac:dyDescent="0.35">
      <c r="C174" s="1">
        <v>45931</v>
      </c>
      <c r="E174" t="s">
        <v>104</v>
      </c>
      <c r="F174" s="2">
        <v>-1626.98</v>
      </c>
      <c r="G174" s="3">
        <v>0</v>
      </c>
      <c r="H174" s="3">
        <v>1626.98</v>
      </c>
    </row>
    <row r="175" spans="3:8" x14ac:dyDescent="0.35">
      <c r="C175" s="1">
        <v>45907</v>
      </c>
      <c r="E175" t="s">
        <v>105</v>
      </c>
      <c r="F175" s="2">
        <v>-40</v>
      </c>
      <c r="G175" s="3">
        <v>0</v>
      </c>
      <c r="H175" s="3">
        <v>40</v>
      </c>
    </row>
    <row r="176" spans="3:8" x14ac:dyDescent="0.35">
      <c r="C176" s="1">
        <v>45875</v>
      </c>
      <c r="E176" t="s">
        <v>106</v>
      </c>
      <c r="F176" s="2">
        <v>-68.489999999999995</v>
      </c>
      <c r="G176" s="3">
        <v>0</v>
      </c>
      <c r="H176" s="3">
        <v>68.489999999999995</v>
      </c>
    </row>
    <row r="177" spans="3:8" x14ac:dyDescent="0.35">
      <c r="C177" s="1">
        <v>45875</v>
      </c>
      <c r="E177" t="s">
        <v>106</v>
      </c>
      <c r="F177" s="2">
        <v>-15.55</v>
      </c>
      <c r="G177" s="3">
        <v>0</v>
      </c>
      <c r="H177" s="3">
        <v>15.55</v>
      </c>
    </row>
    <row r="178" spans="3:8" x14ac:dyDescent="0.35">
      <c r="C178" s="1">
        <v>45875</v>
      </c>
      <c r="E178" t="s">
        <v>106</v>
      </c>
      <c r="F178" s="2">
        <v>-12.48</v>
      </c>
      <c r="G178" s="3">
        <v>0</v>
      </c>
      <c r="H178" s="3">
        <v>12.48</v>
      </c>
    </row>
    <row r="179" spans="3:8" x14ac:dyDescent="0.35">
      <c r="C179" s="1">
        <v>45875</v>
      </c>
      <c r="E179" t="s">
        <v>106</v>
      </c>
      <c r="F179" s="2">
        <v>-23.33</v>
      </c>
      <c r="G179" s="3">
        <v>0</v>
      </c>
      <c r="H179" s="3">
        <v>23.33</v>
      </c>
    </row>
    <row r="180" spans="3:8" x14ac:dyDescent="0.35">
      <c r="C180" s="1">
        <v>45875</v>
      </c>
      <c r="E180" t="s">
        <v>106</v>
      </c>
      <c r="F180" s="2">
        <v>-107.67</v>
      </c>
      <c r="G180" s="3">
        <v>0</v>
      </c>
      <c r="H180" s="3">
        <v>107.67</v>
      </c>
    </row>
    <row r="181" spans="3:8" x14ac:dyDescent="0.35">
      <c r="C181" s="1">
        <v>45875</v>
      </c>
      <c r="E181" t="s">
        <v>106</v>
      </c>
      <c r="F181" s="2">
        <v>-16.649999999999999</v>
      </c>
      <c r="G181" s="3">
        <v>0</v>
      </c>
      <c r="H181" s="3">
        <v>16.649999999999999</v>
      </c>
    </row>
    <row r="182" spans="3:8" x14ac:dyDescent="0.35">
      <c r="C182" s="1">
        <v>45914</v>
      </c>
      <c r="E182" t="s">
        <v>107</v>
      </c>
      <c r="F182" s="2">
        <v>-474.24</v>
      </c>
      <c r="G182" s="3">
        <v>0</v>
      </c>
      <c r="H182" s="3">
        <v>474.24</v>
      </c>
    </row>
    <row r="183" spans="3:8" x14ac:dyDescent="0.35">
      <c r="C183" s="1">
        <v>45859</v>
      </c>
      <c r="E183" t="s">
        <v>108</v>
      </c>
      <c r="F183" s="2">
        <v>-10.76</v>
      </c>
      <c r="G183" s="3">
        <v>0</v>
      </c>
      <c r="H183" s="3">
        <v>10.76</v>
      </c>
    </row>
    <row r="184" spans="3:8" x14ac:dyDescent="0.35">
      <c r="C184" s="1">
        <v>45941</v>
      </c>
      <c r="E184" t="s">
        <v>109</v>
      </c>
      <c r="F184" s="2">
        <v>-513.37</v>
      </c>
      <c r="G184" s="3">
        <v>0</v>
      </c>
      <c r="H184" s="3">
        <v>513.37</v>
      </c>
    </row>
    <row r="185" spans="3:8" x14ac:dyDescent="0.35">
      <c r="C185" s="1">
        <v>45948</v>
      </c>
      <c r="E185" t="s">
        <v>110</v>
      </c>
      <c r="F185" s="2">
        <v>-161.81</v>
      </c>
      <c r="G185" s="3">
        <v>0</v>
      </c>
      <c r="H185" s="3">
        <v>161.81</v>
      </c>
    </row>
    <row r="186" spans="3:8" x14ac:dyDescent="0.35">
      <c r="C186" s="1">
        <v>45948</v>
      </c>
      <c r="E186" t="s">
        <v>111</v>
      </c>
      <c r="F186" s="2">
        <v>-323.62</v>
      </c>
      <c r="G186" s="3">
        <v>0</v>
      </c>
      <c r="H186" s="3">
        <v>323.62</v>
      </c>
    </row>
    <row r="187" spans="3:8" x14ac:dyDescent="0.35">
      <c r="C187" s="1">
        <v>45862</v>
      </c>
      <c r="E187" t="s">
        <v>112</v>
      </c>
      <c r="F187" s="2">
        <v>-120.7</v>
      </c>
      <c r="G187" s="3">
        <v>0</v>
      </c>
      <c r="H187" s="3">
        <v>120.7</v>
      </c>
    </row>
    <row r="188" spans="3:8" x14ac:dyDescent="0.35">
      <c r="C188" s="1">
        <v>45767</v>
      </c>
      <c r="E188" t="s">
        <v>113</v>
      </c>
      <c r="F188" s="2">
        <v>-21.96</v>
      </c>
      <c r="G188" s="3">
        <v>0</v>
      </c>
      <c r="H188" s="3">
        <v>21.96</v>
      </c>
    </row>
    <row r="189" spans="3:8" x14ac:dyDescent="0.35">
      <c r="C189" s="1">
        <v>45788</v>
      </c>
      <c r="E189" t="s">
        <v>113</v>
      </c>
      <c r="F189" s="2">
        <v>-19.760000000000002</v>
      </c>
      <c r="G189" s="3">
        <v>0</v>
      </c>
      <c r="H189" s="3">
        <v>19.760000000000002</v>
      </c>
    </row>
    <row r="190" spans="3:8" x14ac:dyDescent="0.35">
      <c r="C190" s="1">
        <v>45817</v>
      </c>
      <c r="E190" t="s">
        <v>113</v>
      </c>
      <c r="F190" s="2">
        <v>-20.079999999999998</v>
      </c>
      <c r="G190" s="3">
        <v>0</v>
      </c>
      <c r="H190" s="3">
        <v>20.079999999999998</v>
      </c>
    </row>
    <row r="191" spans="3:8" x14ac:dyDescent="0.35">
      <c r="C191" s="1">
        <v>45840</v>
      </c>
      <c r="E191" t="s">
        <v>113</v>
      </c>
      <c r="F191" s="2">
        <v>-59.17</v>
      </c>
      <c r="G191" s="3">
        <v>0</v>
      </c>
      <c r="H191" s="3">
        <v>59.17</v>
      </c>
    </row>
    <row r="192" spans="3:8" x14ac:dyDescent="0.35">
      <c r="C192" s="1">
        <v>45867</v>
      </c>
      <c r="E192" t="s">
        <v>113</v>
      </c>
      <c r="F192" s="2">
        <v>-20.39</v>
      </c>
      <c r="G192" s="3">
        <v>0</v>
      </c>
      <c r="H192" s="3">
        <v>20.39</v>
      </c>
    </row>
    <row r="193" spans="3:8" x14ac:dyDescent="0.35">
      <c r="C193" s="1">
        <v>45871</v>
      </c>
      <c r="E193" t="s">
        <v>113</v>
      </c>
      <c r="F193" s="2">
        <v>-20.079999999999998</v>
      </c>
      <c r="G193" s="3">
        <v>0</v>
      </c>
      <c r="H193" s="3">
        <v>20.079999999999998</v>
      </c>
    </row>
    <row r="194" spans="3:8" x14ac:dyDescent="0.35">
      <c r="C194" s="1">
        <v>45914</v>
      </c>
      <c r="E194" t="s">
        <v>113</v>
      </c>
      <c r="F194" s="2">
        <v>-20.079999999999998</v>
      </c>
      <c r="G194" s="3">
        <v>0</v>
      </c>
      <c r="H194" s="3">
        <v>20.079999999999998</v>
      </c>
    </row>
    <row r="195" spans="3:8" x14ac:dyDescent="0.35">
      <c r="C195" s="1">
        <v>45921</v>
      </c>
      <c r="E195" t="s">
        <v>113</v>
      </c>
      <c r="F195" s="2">
        <v>-58.8</v>
      </c>
      <c r="G195" s="3">
        <v>0</v>
      </c>
      <c r="H195" s="3">
        <v>58.8</v>
      </c>
    </row>
    <row r="196" spans="3:8" x14ac:dyDescent="0.35">
      <c r="C196" s="1">
        <v>45931</v>
      </c>
      <c r="E196" t="s">
        <v>113</v>
      </c>
      <c r="F196" s="2">
        <v>-52.36</v>
      </c>
      <c r="G196" s="3">
        <v>0</v>
      </c>
      <c r="H196" s="3">
        <v>52.36</v>
      </c>
    </row>
    <row r="197" spans="3:8" x14ac:dyDescent="0.35">
      <c r="C197" s="1">
        <v>45934</v>
      </c>
      <c r="E197" t="s">
        <v>113</v>
      </c>
      <c r="F197" s="2">
        <v>-32.15</v>
      </c>
      <c r="G197" s="3">
        <v>0</v>
      </c>
      <c r="H197" s="3">
        <v>32.15</v>
      </c>
    </row>
    <row r="198" spans="3:8" x14ac:dyDescent="0.35">
      <c r="C198" s="1">
        <v>45940</v>
      </c>
      <c r="E198" t="s">
        <v>113</v>
      </c>
      <c r="F198" s="2">
        <v>-67.55</v>
      </c>
      <c r="G198" s="3">
        <v>0</v>
      </c>
      <c r="H198" s="3">
        <v>67.55</v>
      </c>
    </row>
    <row r="199" spans="3:8" x14ac:dyDescent="0.35">
      <c r="C199" s="1">
        <v>45786</v>
      </c>
      <c r="E199" t="s">
        <v>114</v>
      </c>
      <c r="F199" s="2">
        <v>-38.619999999999997</v>
      </c>
      <c r="G199" s="3">
        <v>0</v>
      </c>
      <c r="H199" s="3">
        <v>38.619999999999997</v>
      </c>
    </row>
    <row r="200" spans="3:8" x14ac:dyDescent="0.35">
      <c r="C200" s="1">
        <v>45766</v>
      </c>
      <c r="E200" t="s">
        <v>115</v>
      </c>
      <c r="F200" s="2">
        <v>-22.1</v>
      </c>
      <c r="G200" s="3">
        <v>0</v>
      </c>
      <c r="H200" s="3">
        <v>22.1</v>
      </c>
    </row>
    <row r="201" spans="3:8" x14ac:dyDescent="0.35">
      <c r="C201" s="1">
        <v>45774</v>
      </c>
      <c r="E201" t="s">
        <v>115</v>
      </c>
      <c r="F201" s="2">
        <v>-101.04</v>
      </c>
      <c r="G201" s="3">
        <v>0</v>
      </c>
      <c r="H201" s="3">
        <v>101.04</v>
      </c>
    </row>
    <row r="202" spans="3:8" x14ac:dyDescent="0.35">
      <c r="C202" s="1">
        <v>45787</v>
      </c>
      <c r="E202" t="s">
        <v>115</v>
      </c>
      <c r="F202" s="2">
        <v>-38.68</v>
      </c>
      <c r="G202" s="3">
        <v>0</v>
      </c>
      <c r="H202" s="3">
        <v>38.68</v>
      </c>
    </row>
    <row r="203" spans="3:8" x14ac:dyDescent="0.35">
      <c r="C203" s="1">
        <v>45794</v>
      </c>
      <c r="E203" t="s">
        <v>115</v>
      </c>
      <c r="F203" s="2">
        <v>-28.46</v>
      </c>
      <c r="G203" s="3">
        <v>0</v>
      </c>
      <c r="H203" s="3">
        <v>28.46</v>
      </c>
    </row>
    <row r="204" spans="3:8" x14ac:dyDescent="0.35">
      <c r="C204" s="1">
        <v>45830</v>
      </c>
      <c r="E204" t="s">
        <v>115</v>
      </c>
      <c r="F204" s="2">
        <v>-103.64</v>
      </c>
      <c r="G204" s="3">
        <v>0</v>
      </c>
      <c r="H204" s="3">
        <v>103.64</v>
      </c>
    </row>
    <row r="205" spans="3:8" x14ac:dyDescent="0.35">
      <c r="C205" s="1">
        <v>45837</v>
      </c>
      <c r="E205" t="s">
        <v>115</v>
      </c>
      <c r="F205" s="2">
        <v>-25.75</v>
      </c>
      <c r="G205" s="3">
        <v>0</v>
      </c>
      <c r="H205" s="3">
        <v>25.75</v>
      </c>
    </row>
    <row r="206" spans="3:8" x14ac:dyDescent="0.35">
      <c r="C206" s="1">
        <v>45843</v>
      </c>
      <c r="E206" t="s">
        <v>115</v>
      </c>
      <c r="F206" s="2">
        <v>-29.61</v>
      </c>
      <c r="G206" s="3">
        <v>0</v>
      </c>
      <c r="H206" s="3">
        <v>29.61</v>
      </c>
    </row>
    <row r="207" spans="3:8" x14ac:dyDescent="0.35">
      <c r="C207" s="1">
        <v>45851</v>
      </c>
      <c r="E207" t="s">
        <v>115</v>
      </c>
      <c r="F207" s="2">
        <v>-23.51</v>
      </c>
      <c r="G207" s="3">
        <v>0</v>
      </c>
      <c r="H207" s="3">
        <v>23.51</v>
      </c>
    </row>
    <row r="208" spans="3:8" x14ac:dyDescent="0.35">
      <c r="C208" s="1">
        <v>45858</v>
      </c>
      <c r="E208" t="s">
        <v>115</v>
      </c>
      <c r="F208" s="2">
        <v>-24.75</v>
      </c>
      <c r="G208" s="3">
        <v>0</v>
      </c>
      <c r="H208" s="3">
        <v>24.75</v>
      </c>
    </row>
    <row r="209" spans="3:8" x14ac:dyDescent="0.35">
      <c r="C209" s="1">
        <v>45864</v>
      </c>
      <c r="E209" t="s">
        <v>115</v>
      </c>
      <c r="F209" s="2">
        <v>-42.41</v>
      </c>
      <c r="G209" s="3">
        <v>0</v>
      </c>
      <c r="H209" s="3">
        <v>42.41</v>
      </c>
    </row>
    <row r="210" spans="3:8" x14ac:dyDescent="0.35">
      <c r="C210" s="1">
        <v>45865</v>
      </c>
      <c r="E210" t="s">
        <v>115</v>
      </c>
      <c r="F210" s="2">
        <v>-25.01</v>
      </c>
      <c r="G210" s="3">
        <v>0</v>
      </c>
      <c r="H210" s="3">
        <v>25.01</v>
      </c>
    </row>
    <row r="211" spans="3:8" x14ac:dyDescent="0.35">
      <c r="C211" s="1">
        <v>45879</v>
      </c>
      <c r="E211" t="s">
        <v>115</v>
      </c>
      <c r="F211" s="2">
        <v>-24.75</v>
      </c>
      <c r="G211" s="3">
        <v>0</v>
      </c>
      <c r="H211" s="3">
        <v>24.75</v>
      </c>
    </row>
    <row r="212" spans="3:8" x14ac:dyDescent="0.35">
      <c r="C212" s="1">
        <v>45913</v>
      </c>
      <c r="E212" t="s">
        <v>115</v>
      </c>
      <c r="F212" s="2">
        <v>-25.01</v>
      </c>
      <c r="G212" s="3">
        <v>0</v>
      </c>
      <c r="H212" s="3">
        <v>25.01</v>
      </c>
    </row>
    <row r="213" spans="3:8" x14ac:dyDescent="0.35">
      <c r="C213" s="1">
        <v>45928</v>
      </c>
      <c r="E213" t="s">
        <v>115</v>
      </c>
      <c r="F213" s="2">
        <v>-51.5</v>
      </c>
      <c r="G213" s="3">
        <v>0</v>
      </c>
      <c r="H213" s="3">
        <v>51.5</v>
      </c>
    </row>
    <row r="214" spans="3:8" x14ac:dyDescent="0.35">
      <c r="C214" s="1">
        <v>45941</v>
      </c>
      <c r="E214" t="s">
        <v>115</v>
      </c>
      <c r="F214" s="2">
        <v>-27.73</v>
      </c>
      <c r="G214" s="3">
        <v>0</v>
      </c>
      <c r="H214" s="3">
        <v>27.73</v>
      </c>
    </row>
    <row r="215" spans="3:8" x14ac:dyDescent="0.35">
      <c r="C215" s="1">
        <v>45886</v>
      </c>
      <c r="E215" t="s">
        <v>116</v>
      </c>
      <c r="F215" s="2">
        <v>-28.46</v>
      </c>
      <c r="G215" s="3">
        <v>0</v>
      </c>
      <c r="H215" s="3">
        <v>28.46</v>
      </c>
    </row>
    <row r="216" spans="3:8" x14ac:dyDescent="0.35">
      <c r="C216" s="1">
        <v>45823</v>
      </c>
      <c r="E216" t="s">
        <v>117</v>
      </c>
      <c r="F216" s="2">
        <v>-29.61</v>
      </c>
      <c r="G216" s="3">
        <v>0</v>
      </c>
      <c r="H216" s="3">
        <v>29.61</v>
      </c>
    </row>
    <row r="217" spans="3:8" x14ac:dyDescent="0.35">
      <c r="C217" s="1">
        <v>45874</v>
      </c>
      <c r="E217" t="s">
        <v>118</v>
      </c>
      <c r="F217" s="2">
        <v>-22.62</v>
      </c>
      <c r="G217" s="3">
        <v>0</v>
      </c>
      <c r="H217" s="3">
        <v>22.62</v>
      </c>
    </row>
    <row r="218" spans="3:8" x14ac:dyDescent="0.35">
      <c r="C218" s="1">
        <v>45915</v>
      </c>
      <c r="E218" t="s">
        <v>119</v>
      </c>
      <c r="F218" s="2">
        <v>-147.04</v>
      </c>
      <c r="G218" s="3">
        <v>0</v>
      </c>
      <c r="H218" s="3">
        <v>147.04</v>
      </c>
    </row>
    <row r="219" spans="3:8" x14ac:dyDescent="0.35">
      <c r="C219" s="1">
        <v>45883</v>
      </c>
      <c r="E219" t="s">
        <v>120</v>
      </c>
      <c r="F219" s="2">
        <v>-229.3</v>
      </c>
      <c r="G219" s="3">
        <v>0</v>
      </c>
      <c r="H219" s="3">
        <v>229.3</v>
      </c>
    </row>
    <row r="220" spans="3:8" x14ac:dyDescent="0.35">
      <c r="C220" s="1">
        <v>45848</v>
      </c>
      <c r="E220" t="s">
        <v>121</v>
      </c>
      <c r="F220" s="2">
        <v>-60.07</v>
      </c>
      <c r="G220" s="3">
        <v>0</v>
      </c>
      <c r="H220" s="3">
        <v>60.07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0"/>
  <sheetViews>
    <sheetView tabSelected="1" topLeftCell="C3" workbookViewId="0">
      <selection activeCell="E6" sqref="E6:E220"/>
    </sheetView>
  </sheetViews>
  <sheetFormatPr defaultRowHeight="14.5" x14ac:dyDescent="0.35"/>
  <cols>
    <col min="5" max="6" width="124.36328125" bestFit="1" customWidth="1"/>
  </cols>
  <sheetData>
    <row r="1" spans="1:9" x14ac:dyDescent="0.35">
      <c r="A1" s="4" t="s">
        <v>122</v>
      </c>
      <c r="B1" s="4" t="s">
        <v>123</v>
      </c>
      <c r="C1" s="4" t="s">
        <v>124</v>
      </c>
      <c r="D1" s="4" t="s">
        <v>125</v>
      </c>
      <c r="E1" s="4"/>
      <c r="F1" s="4" t="s">
        <v>126</v>
      </c>
      <c r="G1" s="4" t="s">
        <v>0</v>
      </c>
      <c r="H1" s="4">
        <v>0</v>
      </c>
      <c r="I1" s="4" t="s">
        <v>127</v>
      </c>
    </row>
    <row r="2" spans="1:9" x14ac:dyDescent="0.35">
      <c r="G2" t="s">
        <v>1</v>
      </c>
      <c r="H2" t="s">
        <v>128</v>
      </c>
      <c r="I2" t="s">
        <v>129</v>
      </c>
    </row>
    <row r="3" spans="1:9" x14ac:dyDescent="0.35">
      <c r="G3" t="s">
        <v>2</v>
      </c>
      <c r="H3" t="s">
        <v>130</v>
      </c>
      <c r="I3" t="s">
        <v>129</v>
      </c>
    </row>
    <row r="5" spans="1:9" x14ac:dyDescent="0.35">
      <c r="C5" t="s">
        <v>3</v>
      </c>
      <c r="D5" t="s">
        <v>4</v>
      </c>
      <c r="F5" t="s">
        <v>5</v>
      </c>
      <c r="G5" t="s">
        <v>6</v>
      </c>
      <c r="H5" t="s">
        <v>7</v>
      </c>
      <c r="I5" t="s">
        <v>8</v>
      </c>
    </row>
    <row r="6" spans="1:9" x14ac:dyDescent="0.35">
      <c r="C6" t="s">
        <v>131</v>
      </c>
      <c r="E6" t="s">
        <v>9</v>
      </c>
      <c r="F6" t="s">
        <v>132</v>
      </c>
      <c r="G6" t="s">
        <v>133</v>
      </c>
      <c r="H6" t="s">
        <v>134</v>
      </c>
      <c r="I6" t="s">
        <v>135</v>
      </c>
    </row>
    <row r="7" spans="1:9" x14ac:dyDescent="0.35">
      <c r="C7" t="s">
        <v>131</v>
      </c>
      <c r="E7" t="s">
        <v>9</v>
      </c>
      <c r="F7" t="s">
        <v>132</v>
      </c>
      <c r="G7" t="s">
        <v>136</v>
      </c>
      <c r="H7" t="s">
        <v>134</v>
      </c>
      <c r="I7" t="s">
        <v>137</v>
      </c>
    </row>
    <row r="8" spans="1:9" x14ac:dyDescent="0.35">
      <c r="C8" t="s">
        <v>138</v>
      </c>
      <c r="E8" t="s">
        <v>9</v>
      </c>
      <c r="F8" t="s">
        <v>132</v>
      </c>
      <c r="G8" t="s">
        <v>139</v>
      </c>
      <c r="H8" t="s">
        <v>134</v>
      </c>
      <c r="I8" t="s">
        <v>140</v>
      </c>
    </row>
    <row r="9" spans="1:9" x14ac:dyDescent="0.35">
      <c r="C9" t="s">
        <v>141</v>
      </c>
      <c r="E9" t="s">
        <v>9</v>
      </c>
      <c r="F9" t="s">
        <v>132</v>
      </c>
      <c r="G9" t="s">
        <v>142</v>
      </c>
      <c r="H9" t="s">
        <v>134</v>
      </c>
      <c r="I9" t="s">
        <v>143</v>
      </c>
    </row>
    <row r="10" spans="1:9" x14ac:dyDescent="0.35">
      <c r="C10" t="s">
        <v>144</v>
      </c>
      <c r="E10" t="s">
        <v>9</v>
      </c>
      <c r="F10" t="s">
        <v>132</v>
      </c>
      <c r="G10" t="s">
        <v>145</v>
      </c>
      <c r="H10" t="s">
        <v>134</v>
      </c>
      <c r="I10" t="s">
        <v>146</v>
      </c>
    </row>
    <row r="11" spans="1:9" x14ac:dyDescent="0.35">
      <c r="C11" t="s">
        <v>147</v>
      </c>
      <c r="E11" t="s">
        <v>9</v>
      </c>
      <c r="F11" t="s">
        <v>132</v>
      </c>
      <c r="G11" t="s">
        <v>148</v>
      </c>
      <c r="H11" t="s">
        <v>134</v>
      </c>
      <c r="I11" t="s">
        <v>149</v>
      </c>
    </row>
    <row r="12" spans="1:9" x14ac:dyDescent="0.35">
      <c r="C12" t="s">
        <v>150</v>
      </c>
      <c r="E12" t="s">
        <v>9</v>
      </c>
      <c r="F12" t="s">
        <v>132</v>
      </c>
      <c r="G12" t="s">
        <v>151</v>
      </c>
      <c r="H12" t="s">
        <v>134</v>
      </c>
      <c r="I12" t="s">
        <v>152</v>
      </c>
    </row>
    <row r="13" spans="1:9" x14ac:dyDescent="0.35">
      <c r="C13" t="s">
        <v>153</v>
      </c>
      <c r="E13" t="s">
        <v>10</v>
      </c>
      <c r="F13" t="s">
        <v>10</v>
      </c>
      <c r="G13" t="s">
        <v>154</v>
      </c>
      <c r="H13" t="s">
        <v>134</v>
      </c>
      <c r="I13" t="s">
        <v>155</v>
      </c>
    </row>
    <row r="14" spans="1:9" x14ac:dyDescent="0.35">
      <c r="C14" t="s">
        <v>153</v>
      </c>
      <c r="E14" t="s">
        <v>10</v>
      </c>
      <c r="F14" t="s">
        <v>10</v>
      </c>
      <c r="G14" t="s">
        <v>156</v>
      </c>
      <c r="H14" t="s">
        <v>134</v>
      </c>
      <c r="I14" t="s">
        <v>157</v>
      </c>
    </row>
    <row r="15" spans="1:9" x14ac:dyDescent="0.35">
      <c r="C15" t="s">
        <v>158</v>
      </c>
      <c r="E15" t="s">
        <v>11</v>
      </c>
      <c r="F15" t="s">
        <v>159</v>
      </c>
      <c r="G15" t="s">
        <v>160</v>
      </c>
      <c r="H15" t="s">
        <v>134</v>
      </c>
      <c r="I15" t="s">
        <v>161</v>
      </c>
    </row>
    <row r="16" spans="1:9" x14ac:dyDescent="0.35">
      <c r="C16" t="s">
        <v>162</v>
      </c>
      <c r="E16" t="s">
        <v>12</v>
      </c>
      <c r="F16" t="s">
        <v>163</v>
      </c>
      <c r="G16" t="s">
        <v>164</v>
      </c>
      <c r="H16" t="s">
        <v>134</v>
      </c>
      <c r="I16" t="s">
        <v>165</v>
      </c>
    </row>
    <row r="17" spans="3:9" x14ac:dyDescent="0.35">
      <c r="C17" t="s">
        <v>166</v>
      </c>
      <c r="E17" t="s">
        <v>13</v>
      </c>
      <c r="F17" t="s">
        <v>13</v>
      </c>
      <c r="G17" t="s">
        <v>167</v>
      </c>
      <c r="H17" t="s">
        <v>134</v>
      </c>
      <c r="I17" t="s">
        <v>168</v>
      </c>
    </row>
    <row r="18" spans="3:9" x14ac:dyDescent="0.35">
      <c r="C18" t="s">
        <v>138</v>
      </c>
      <c r="E18" t="s">
        <v>13</v>
      </c>
      <c r="F18" t="s">
        <v>13</v>
      </c>
      <c r="G18" t="s">
        <v>169</v>
      </c>
      <c r="H18" t="s">
        <v>134</v>
      </c>
      <c r="I18" t="s">
        <v>170</v>
      </c>
    </row>
    <row r="19" spans="3:9" x14ac:dyDescent="0.35">
      <c r="C19" t="s">
        <v>171</v>
      </c>
      <c r="E19" t="s">
        <v>14</v>
      </c>
      <c r="F19" t="s">
        <v>172</v>
      </c>
      <c r="G19" t="s">
        <v>173</v>
      </c>
      <c r="H19" t="s">
        <v>134</v>
      </c>
      <c r="I19" t="s">
        <v>174</v>
      </c>
    </row>
    <row r="20" spans="3:9" x14ac:dyDescent="0.35">
      <c r="C20" t="s">
        <v>175</v>
      </c>
      <c r="E20" t="s">
        <v>15</v>
      </c>
      <c r="F20" t="s">
        <v>176</v>
      </c>
      <c r="G20" t="s">
        <v>177</v>
      </c>
      <c r="H20" t="s">
        <v>134</v>
      </c>
      <c r="I20" t="s">
        <v>178</v>
      </c>
    </row>
    <row r="21" spans="3:9" x14ac:dyDescent="0.35">
      <c r="C21" t="s">
        <v>179</v>
      </c>
      <c r="E21" t="s">
        <v>16</v>
      </c>
      <c r="F21" t="s">
        <v>176</v>
      </c>
      <c r="G21" t="s">
        <v>180</v>
      </c>
      <c r="H21" t="s">
        <v>134</v>
      </c>
      <c r="I21" t="s">
        <v>181</v>
      </c>
    </row>
    <row r="22" spans="3:9" x14ac:dyDescent="0.35">
      <c r="C22" t="s">
        <v>182</v>
      </c>
      <c r="E22" t="s">
        <v>17</v>
      </c>
      <c r="F22" t="s">
        <v>176</v>
      </c>
      <c r="G22" t="s">
        <v>183</v>
      </c>
      <c r="H22" t="s">
        <v>134</v>
      </c>
      <c r="I22" t="s">
        <v>184</v>
      </c>
    </row>
    <row r="23" spans="3:9" x14ac:dyDescent="0.35">
      <c r="C23" t="s">
        <v>185</v>
      </c>
      <c r="E23" t="s">
        <v>18</v>
      </c>
      <c r="F23" t="s">
        <v>176</v>
      </c>
      <c r="G23" t="s">
        <v>186</v>
      </c>
      <c r="H23" t="s">
        <v>134</v>
      </c>
      <c r="I23" t="s">
        <v>187</v>
      </c>
    </row>
    <row r="24" spans="3:9" x14ac:dyDescent="0.35">
      <c r="C24" t="s">
        <v>188</v>
      </c>
      <c r="E24" t="s">
        <v>19</v>
      </c>
      <c r="F24" t="s">
        <v>176</v>
      </c>
      <c r="G24" t="s">
        <v>189</v>
      </c>
      <c r="H24" t="s">
        <v>134</v>
      </c>
      <c r="I24" t="s">
        <v>190</v>
      </c>
    </row>
    <row r="25" spans="3:9" x14ac:dyDescent="0.35">
      <c r="C25" t="s">
        <v>191</v>
      </c>
      <c r="E25" t="s">
        <v>20</v>
      </c>
      <c r="F25" t="s">
        <v>176</v>
      </c>
      <c r="G25" t="s">
        <v>177</v>
      </c>
      <c r="H25" t="s">
        <v>134</v>
      </c>
      <c r="I25" t="s">
        <v>178</v>
      </c>
    </row>
    <row r="26" spans="3:9" x14ac:dyDescent="0.35">
      <c r="C26" t="s">
        <v>192</v>
      </c>
      <c r="E26" t="s">
        <v>21</v>
      </c>
      <c r="F26" t="s">
        <v>176</v>
      </c>
      <c r="G26" t="s">
        <v>193</v>
      </c>
      <c r="H26" t="s">
        <v>134</v>
      </c>
      <c r="I26" t="s">
        <v>194</v>
      </c>
    </row>
    <row r="27" spans="3:9" x14ac:dyDescent="0.35">
      <c r="C27" t="s">
        <v>195</v>
      </c>
      <c r="E27" t="s">
        <v>22</v>
      </c>
      <c r="F27" t="s">
        <v>176</v>
      </c>
      <c r="G27" t="s">
        <v>196</v>
      </c>
      <c r="H27" t="s">
        <v>134</v>
      </c>
      <c r="I27" t="s">
        <v>197</v>
      </c>
    </row>
    <row r="28" spans="3:9" x14ac:dyDescent="0.35">
      <c r="C28" t="s">
        <v>198</v>
      </c>
      <c r="E28" t="s">
        <v>23</v>
      </c>
      <c r="F28" t="s">
        <v>176</v>
      </c>
      <c r="G28" t="s">
        <v>177</v>
      </c>
      <c r="H28" t="s">
        <v>134</v>
      </c>
      <c r="I28" t="s">
        <v>178</v>
      </c>
    </row>
    <row r="29" spans="3:9" x14ac:dyDescent="0.35">
      <c r="C29" t="s">
        <v>199</v>
      </c>
      <c r="E29" t="s">
        <v>24</v>
      </c>
      <c r="F29" t="s">
        <v>176</v>
      </c>
      <c r="G29" t="s">
        <v>200</v>
      </c>
      <c r="H29" t="s">
        <v>134</v>
      </c>
      <c r="I29" t="s">
        <v>201</v>
      </c>
    </row>
    <row r="30" spans="3:9" x14ac:dyDescent="0.35">
      <c r="C30" t="s">
        <v>202</v>
      </c>
      <c r="E30" t="s">
        <v>25</v>
      </c>
      <c r="F30" t="s">
        <v>176</v>
      </c>
      <c r="G30" t="s">
        <v>203</v>
      </c>
      <c r="H30" t="s">
        <v>134</v>
      </c>
      <c r="I30" t="s">
        <v>204</v>
      </c>
    </row>
    <row r="31" spans="3:9" x14ac:dyDescent="0.35">
      <c r="C31" t="s">
        <v>205</v>
      </c>
      <c r="E31" t="s">
        <v>26</v>
      </c>
      <c r="F31" t="s">
        <v>176</v>
      </c>
      <c r="G31" t="s">
        <v>206</v>
      </c>
      <c r="H31" t="s">
        <v>134</v>
      </c>
      <c r="I31" t="s">
        <v>207</v>
      </c>
    </row>
    <row r="32" spans="3:9" x14ac:dyDescent="0.35">
      <c r="C32" t="s">
        <v>208</v>
      </c>
      <c r="E32" t="s">
        <v>27</v>
      </c>
      <c r="F32" t="s">
        <v>176</v>
      </c>
      <c r="G32" t="s">
        <v>209</v>
      </c>
      <c r="H32" t="s">
        <v>134</v>
      </c>
      <c r="I32" t="s">
        <v>210</v>
      </c>
    </row>
    <row r="33" spans="3:9" x14ac:dyDescent="0.35">
      <c r="C33" t="s">
        <v>211</v>
      </c>
      <c r="E33" t="s">
        <v>28</v>
      </c>
      <c r="F33" t="s">
        <v>28</v>
      </c>
      <c r="G33" t="s">
        <v>212</v>
      </c>
      <c r="H33" t="s">
        <v>134</v>
      </c>
      <c r="I33" t="s">
        <v>213</v>
      </c>
    </row>
    <row r="34" spans="3:9" x14ac:dyDescent="0.35">
      <c r="C34" t="s">
        <v>214</v>
      </c>
      <c r="E34" t="s">
        <v>29</v>
      </c>
      <c r="F34" t="s">
        <v>29</v>
      </c>
      <c r="G34" t="s">
        <v>215</v>
      </c>
      <c r="H34" t="s">
        <v>134</v>
      </c>
      <c r="I34" t="s">
        <v>216</v>
      </c>
    </row>
    <row r="35" spans="3:9" x14ac:dyDescent="0.35">
      <c r="C35" t="s">
        <v>217</v>
      </c>
      <c r="E35" t="s">
        <v>30</v>
      </c>
      <c r="F35" t="s">
        <v>30</v>
      </c>
      <c r="G35" t="s">
        <v>218</v>
      </c>
      <c r="H35" t="s">
        <v>134</v>
      </c>
      <c r="I35" t="s">
        <v>219</v>
      </c>
    </row>
    <row r="36" spans="3:9" x14ac:dyDescent="0.35">
      <c r="C36" t="s">
        <v>220</v>
      </c>
      <c r="E36" t="s">
        <v>31</v>
      </c>
      <c r="F36" t="s">
        <v>221</v>
      </c>
      <c r="G36" t="s">
        <v>222</v>
      </c>
      <c r="H36" t="s">
        <v>134</v>
      </c>
      <c r="I36" t="s">
        <v>223</v>
      </c>
    </row>
    <row r="37" spans="3:9" x14ac:dyDescent="0.35">
      <c r="C37" t="s">
        <v>224</v>
      </c>
      <c r="E37" t="s">
        <v>31</v>
      </c>
      <c r="F37" t="s">
        <v>221</v>
      </c>
      <c r="G37" t="s">
        <v>159</v>
      </c>
      <c r="H37" t="s">
        <v>134</v>
      </c>
      <c r="I37" t="s">
        <v>159</v>
      </c>
    </row>
    <row r="38" spans="3:9" x14ac:dyDescent="0.35">
      <c r="C38" t="s">
        <v>225</v>
      </c>
      <c r="E38" t="s">
        <v>32</v>
      </c>
      <c r="F38" t="s">
        <v>159</v>
      </c>
      <c r="G38" t="s">
        <v>226</v>
      </c>
      <c r="H38" t="s">
        <v>134</v>
      </c>
      <c r="I38" t="s">
        <v>227</v>
      </c>
    </row>
    <row r="39" spans="3:9" x14ac:dyDescent="0.35">
      <c r="C39" t="s">
        <v>228</v>
      </c>
      <c r="E39" t="s">
        <v>33</v>
      </c>
      <c r="F39" t="s">
        <v>33</v>
      </c>
      <c r="G39" t="s">
        <v>229</v>
      </c>
      <c r="H39" t="s">
        <v>134</v>
      </c>
      <c r="I39" t="s">
        <v>230</v>
      </c>
    </row>
    <row r="40" spans="3:9" x14ac:dyDescent="0.35">
      <c r="C40" t="s">
        <v>228</v>
      </c>
      <c r="E40" t="s">
        <v>33</v>
      </c>
      <c r="F40" t="s">
        <v>33</v>
      </c>
      <c r="G40" t="s">
        <v>231</v>
      </c>
      <c r="H40" t="s">
        <v>134</v>
      </c>
      <c r="I40" t="s">
        <v>232</v>
      </c>
    </row>
    <row r="41" spans="3:9" x14ac:dyDescent="0.35">
      <c r="C41" t="s">
        <v>153</v>
      </c>
      <c r="E41" t="s">
        <v>33</v>
      </c>
      <c r="F41" t="s">
        <v>33</v>
      </c>
      <c r="G41" t="s">
        <v>233</v>
      </c>
      <c r="H41" t="s">
        <v>134</v>
      </c>
      <c r="I41" t="s">
        <v>234</v>
      </c>
    </row>
    <row r="42" spans="3:9" x14ac:dyDescent="0.35">
      <c r="C42" t="s">
        <v>235</v>
      </c>
      <c r="E42" t="s">
        <v>34</v>
      </c>
      <c r="F42" t="s">
        <v>236</v>
      </c>
      <c r="G42" t="s">
        <v>237</v>
      </c>
      <c r="H42" t="s">
        <v>134</v>
      </c>
      <c r="I42" t="s">
        <v>238</v>
      </c>
    </row>
    <row r="43" spans="3:9" x14ac:dyDescent="0.35">
      <c r="C43" t="s">
        <v>239</v>
      </c>
      <c r="E43" t="s">
        <v>35</v>
      </c>
      <c r="F43" t="s">
        <v>35</v>
      </c>
      <c r="G43" t="s">
        <v>240</v>
      </c>
      <c r="H43" t="s">
        <v>134</v>
      </c>
      <c r="I43" t="s">
        <v>241</v>
      </c>
    </row>
    <row r="44" spans="3:9" x14ac:dyDescent="0.35">
      <c r="C44" t="s">
        <v>242</v>
      </c>
      <c r="E44" t="s">
        <v>35</v>
      </c>
      <c r="F44" t="s">
        <v>35</v>
      </c>
      <c r="G44" t="s">
        <v>243</v>
      </c>
      <c r="H44" t="s">
        <v>134</v>
      </c>
      <c r="I44" t="s">
        <v>244</v>
      </c>
    </row>
    <row r="45" spans="3:9" x14ac:dyDescent="0.35">
      <c r="C45" t="s">
        <v>245</v>
      </c>
      <c r="E45" t="s">
        <v>36</v>
      </c>
      <c r="F45" t="s">
        <v>246</v>
      </c>
      <c r="G45" t="s">
        <v>247</v>
      </c>
      <c r="H45" t="s">
        <v>134</v>
      </c>
      <c r="I45" t="s">
        <v>248</v>
      </c>
    </row>
    <row r="46" spans="3:9" x14ac:dyDescent="0.35">
      <c r="C46" t="s">
        <v>249</v>
      </c>
      <c r="E46" t="s">
        <v>37</v>
      </c>
      <c r="F46" t="s">
        <v>246</v>
      </c>
      <c r="G46" t="s">
        <v>159</v>
      </c>
      <c r="H46" t="s">
        <v>134</v>
      </c>
      <c r="I46" t="s">
        <v>159</v>
      </c>
    </row>
    <row r="47" spans="3:9" x14ac:dyDescent="0.35">
      <c r="C47" t="s">
        <v>250</v>
      </c>
      <c r="E47" t="s">
        <v>38</v>
      </c>
      <c r="F47" t="s">
        <v>246</v>
      </c>
      <c r="G47" t="s">
        <v>251</v>
      </c>
      <c r="H47" t="s">
        <v>134</v>
      </c>
      <c r="I47" t="s">
        <v>252</v>
      </c>
    </row>
    <row r="48" spans="3:9" x14ac:dyDescent="0.35">
      <c r="C48" t="s">
        <v>253</v>
      </c>
      <c r="E48" t="s">
        <v>39</v>
      </c>
      <c r="F48" t="s">
        <v>246</v>
      </c>
      <c r="G48" t="s">
        <v>254</v>
      </c>
      <c r="H48" t="s">
        <v>134</v>
      </c>
      <c r="I48" t="s">
        <v>255</v>
      </c>
    </row>
    <row r="49" spans="3:9" x14ac:dyDescent="0.35">
      <c r="C49" t="s">
        <v>256</v>
      </c>
      <c r="E49" t="s">
        <v>40</v>
      </c>
      <c r="F49" t="s">
        <v>246</v>
      </c>
      <c r="G49" t="s">
        <v>257</v>
      </c>
      <c r="H49" t="s">
        <v>134</v>
      </c>
      <c r="I49" t="s">
        <v>258</v>
      </c>
    </row>
    <row r="50" spans="3:9" x14ac:dyDescent="0.35">
      <c r="C50" t="s">
        <v>259</v>
      </c>
      <c r="E50" t="s">
        <v>41</v>
      </c>
      <c r="F50" t="s">
        <v>246</v>
      </c>
      <c r="G50" t="s">
        <v>260</v>
      </c>
      <c r="H50" t="s">
        <v>134</v>
      </c>
      <c r="I50" t="s">
        <v>261</v>
      </c>
    </row>
    <row r="51" spans="3:9" x14ac:dyDescent="0.35">
      <c r="C51" t="s">
        <v>262</v>
      </c>
      <c r="E51" t="s">
        <v>42</v>
      </c>
      <c r="F51" t="s">
        <v>246</v>
      </c>
      <c r="G51" t="s">
        <v>263</v>
      </c>
      <c r="H51" t="s">
        <v>134</v>
      </c>
      <c r="I51" t="s">
        <v>264</v>
      </c>
    </row>
    <row r="52" spans="3:9" x14ac:dyDescent="0.35">
      <c r="C52" t="s">
        <v>265</v>
      </c>
      <c r="E52" t="s">
        <v>42</v>
      </c>
      <c r="F52" t="s">
        <v>246</v>
      </c>
      <c r="G52" t="s">
        <v>266</v>
      </c>
      <c r="H52" t="s">
        <v>134</v>
      </c>
      <c r="I52" t="s">
        <v>267</v>
      </c>
    </row>
    <row r="53" spans="3:9" x14ac:dyDescent="0.35">
      <c r="C53" t="s">
        <v>268</v>
      </c>
      <c r="E53" t="s">
        <v>42</v>
      </c>
      <c r="F53" t="s">
        <v>246</v>
      </c>
      <c r="G53" t="s">
        <v>269</v>
      </c>
      <c r="H53" t="s">
        <v>134</v>
      </c>
      <c r="I53" t="s">
        <v>270</v>
      </c>
    </row>
    <row r="54" spans="3:9" x14ac:dyDescent="0.35">
      <c r="C54" t="s">
        <v>205</v>
      </c>
      <c r="E54" t="s">
        <v>42</v>
      </c>
      <c r="F54" t="s">
        <v>246</v>
      </c>
      <c r="G54" t="s">
        <v>271</v>
      </c>
      <c r="H54" t="s">
        <v>134</v>
      </c>
      <c r="I54" t="s">
        <v>272</v>
      </c>
    </row>
    <row r="55" spans="3:9" x14ac:dyDescent="0.35">
      <c r="C55" t="s">
        <v>273</v>
      </c>
      <c r="E55" t="s">
        <v>42</v>
      </c>
      <c r="F55" t="s">
        <v>246</v>
      </c>
      <c r="G55" t="s">
        <v>274</v>
      </c>
      <c r="H55" t="s">
        <v>134</v>
      </c>
      <c r="I55" t="s">
        <v>275</v>
      </c>
    </row>
    <row r="56" spans="3:9" x14ac:dyDescent="0.35">
      <c r="C56" t="s">
        <v>276</v>
      </c>
      <c r="E56" t="s">
        <v>42</v>
      </c>
      <c r="F56" t="s">
        <v>246</v>
      </c>
      <c r="G56" t="s">
        <v>277</v>
      </c>
      <c r="H56" t="s">
        <v>134</v>
      </c>
      <c r="I56" t="s">
        <v>278</v>
      </c>
    </row>
    <row r="57" spans="3:9" x14ac:dyDescent="0.35">
      <c r="C57" t="s">
        <v>279</v>
      </c>
      <c r="E57" t="s">
        <v>43</v>
      </c>
      <c r="F57" t="s">
        <v>280</v>
      </c>
      <c r="G57" t="s">
        <v>281</v>
      </c>
      <c r="H57" t="s">
        <v>134</v>
      </c>
      <c r="I57" t="s">
        <v>282</v>
      </c>
    </row>
    <row r="58" spans="3:9" x14ac:dyDescent="0.35">
      <c r="C58" t="s">
        <v>283</v>
      </c>
      <c r="E58" t="s">
        <v>44</v>
      </c>
      <c r="F58" t="s">
        <v>284</v>
      </c>
      <c r="G58" t="s">
        <v>285</v>
      </c>
      <c r="H58" t="s">
        <v>134</v>
      </c>
      <c r="I58" t="s">
        <v>286</v>
      </c>
    </row>
    <row r="59" spans="3:9" x14ac:dyDescent="0.35">
      <c r="C59" t="s">
        <v>287</v>
      </c>
      <c r="E59" t="s">
        <v>44</v>
      </c>
      <c r="F59" t="s">
        <v>284</v>
      </c>
      <c r="G59" t="s">
        <v>285</v>
      </c>
      <c r="H59" t="s">
        <v>134</v>
      </c>
      <c r="I59" t="s">
        <v>286</v>
      </c>
    </row>
    <row r="60" spans="3:9" x14ac:dyDescent="0.35">
      <c r="C60" t="s">
        <v>288</v>
      </c>
      <c r="E60" t="s">
        <v>44</v>
      </c>
      <c r="F60" t="s">
        <v>284</v>
      </c>
      <c r="G60" t="s">
        <v>289</v>
      </c>
      <c r="H60" t="s">
        <v>134</v>
      </c>
      <c r="I60" t="s">
        <v>290</v>
      </c>
    </row>
    <row r="61" spans="3:9" x14ac:dyDescent="0.35">
      <c r="C61" t="s">
        <v>291</v>
      </c>
      <c r="E61" t="s">
        <v>44</v>
      </c>
      <c r="F61" t="s">
        <v>284</v>
      </c>
      <c r="G61" t="s">
        <v>292</v>
      </c>
      <c r="H61" t="s">
        <v>134</v>
      </c>
      <c r="I61" t="s">
        <v>293</v>
      </c>
    </row>
    <row r="62" spans="3:9" x14ac:dyDescent="0.35">
      <c r="C62" t="s">
        <v>179</v>
      </c>
      <c r="E62" t="s">
        <v>44</v>
      </c>
      <c r="F62" t="s">
        <v>284</v>
      </c>
      <c r="G62" t="s">
        <v>285</v>
      </c>
      <c r="H62" t="s">
        <v>134</v>
      </c>
      <c r="I62" t="s">
        <v>286</v>
      </c>
    </row>
    <row r="63" spans="3:9" x14ac:dyDescent="0.35">
      <c r="C63" t="s">
        <v>294</v>
      </c>
      <c r="E63" t="s">
        <v>44</v>
      </c>
      <c r="F63" t="s">
        <v>284</v>
      </c>
      <c r="G63" t="s">
        <v>285</v>
      </c>
      <c r="H63" t="s">
        <v>134</v>
      </c>
      <c r="I63" t="s">
        <v>286</v>
      </c>
    </row>
    <row r="64" spans="3:9" x14ac:dyDescent="0.35">
      <c r="C64" t="s">
        <v>166</v>
      </c>
      <c r="E64" t="s">
        <v>45</v>
      </c>
      <c r="F64" t="s">
        <v>45</v>
      </c>
      <c r="G64" t="s">
        <v>295</v>
      </c>
      <c r="H64" t="s">
        <v>134</v>
      </c>
      <c r="I64" t="s">
        <v>296</v>
      </c>
    </row>
    <row r="65" spans="3:9" x14ac:dyDescent="0.35">
      <c r="C65" t="s">
        <v>297</v>
      </c>
      <c r="E65" t="s">
        <v>46</v>
      </c>
      <c r="F65" t="s">
        <v>298</v>
      </c>
      <c r="G65" t="s">
        <v>159</v>
      </c>
      <c r="H65" t="s">
        <v>134</v>
      </c>
      <c r="I65" t="s">
        <v>159</v>
      </c>
    </row>
    <row r="66" spans="3:9" x14ac:dyDescent="0.35">
      <c r="C66" t="s">
        <v>249</v>
      </c>
      <c r="E66" t="s">
        <v>46</v>
      </c>
      <c r="F66" t="s">
        <v>298</v>
      </c>
      <c r="G66" t="s">
        <v>299</v>
      </c>
      <c r="H66" t="s">
        <v>134</v>
      </c>
      <c r="I66" t="s">
        <v>300</v>
      </c>
    </row>
    <row r="67" spans="3:9" x14ac:dyDescent="0.35">
      <c r="C67" t="s">
        <v>301</v>
      </c>
      <c r="E67" t="s">
        <v>47</v>
      </c>
      <c r="F67" t="s">
        <v>302</v>
      </c>
      <c r="G67" t="s">
        <v>303</v>
      </c>
      <c r="H67" t="s">
        <v>134</v>
      </c>
      <c r="I67" t="s">
        <v>304</v>
      </c>
    </row>
    <row r="68" spans="3:9" x14ac:dyDescent="0.35">
      <c r="C68" t="s">
        <v>305</v>
      </c>
      <c r="E68" t="s">
        <v>48</v>
      </c>
      <c r="F68" t="s">
        <v>306</v>
      </c>
      <c r="G68" t="s">
        <v>307</v>
      </c>
      <c r="H68" t="s">
        <v>134</v>
      </c>
      <c r="I68" t="s">
        <v>308</v>
      </c>
    </row>
    <row r="69" spans="3:9" x14ac:dyDescent="0.35">
      <c r="C69" t="s">
        <v>309</v>
      </c>
      <c r="E69" t="s">
        <v>49</v>
      </c>
      <c r="F69" t="s">
        <v>310</v>
      </c>
      <c r="G69" t="s">
        <v>311</v>
      </c>
      <c r="H69" t="s">
        <v>134</v>
      </c>
      <c r="I69" t="s">
        <v>312</v>
      </c>
    </row>
    <row r="70" spans="3:9" x14ac:dyDescent="0.35">
      <c r="C70" t="s">
        <v>313</v>
      </c>
      <c r="E70" t="s">
        <v>49</v>
      </c>
      <c r="F70" t="s">
        <v>310</v>
      </c>
      <c r="G70" t="s">
        <v>314</v>
      </c>
      <c r="H70" t="s">
        <v>134</v>
      </c>
      <c r="I70" t="s">
        <v>315</v>
      </c>
    </row>
    <row r="71" spans="3:9" x14ac:dyDescent="0.35">
      <c r="C71" t="s">
        <v>191</v>
      </c>
      <c r="E71" t="s">
        <v>49</v>
      </c>
      <c r="F71" t="s">
        <v>310</v>
      </c>
      <c r="G71" t="s">
        <v>316</v>
      </c>
      <c r="H71" t="s">
        <v>134</v>
      </c>
      <c r="I71" t="s">
        <v>317</v>
      </c>
    </row>
    <row r="72" spans="3:9" x14ac:dyDescent="0.35">
      <c r="C72" t="s">
        <v>318</v>
      </c>
      <c r="E72" t="s">
        <v>49</v>
      </c>
      <c r="F72" t="s">
        <v>310</v>
      </c>
      <c r="G72" t="s">
        <v>319</v>
      </c>
      <c r="H72" t="s">
        <v>134</v>
      </c>
      <c r="I72" t="s">
        <v>320</v>
      </c>
    </row>
    <row r="73" spans="3:9" x14ac:dyDescent="0.35">
      <c r="C73" t="s">
        <v>321</v>
      </c>
      <c r="E73" t="s">
        <v>50</v>
      </c>
      <c r="F73" t="s">
        <v>50</v>
      </c>
      <c r="G73" t="s">
        <v>322</v>
      </c>
      <c r="H73" t="s">
        <v>134</v>
      </c>
      <c r="I73" t="s">
        <v>323</v>
      </c>
    </row>
    <row r="74" spans="3:9" x14ac:dyDescent="0.35">
      <c r="C74" t="s">
        <v>324</v>
      </c>
      <c r="E74" t="s">
        <v>51</v>
      </c>
      <c r="F74" t="s">
        <v>325</v>
      </c>
      <c r="G74" t="s">
        <v>326</v>
      </c>
      <c r="H74" t="s">
        <v>134</v>
      </c>
      <c r="I74" t="s">
        <v>327</v>
      </c>
    </row>
    <row r="75" spans="3:9" x14ac:dyDescent="0.35">
      <c r="C75" t="s">
        <v>321</v>
      </c>
      <c r="E75" t="s">
        <v>52</v>
      </c>
      <c r="F75" t="s">
        <v>328</v>
      </c>
      <c r="G75" t="s">
        <v>329</v>
      </c>
      <c r="H75" t="s">
        <v>134</v>
      </c>
      <c r="I75" t="s">
        <v>330</v>
      </c>
    </row>
    <row r="76" spans="3:9" x14ac:dyDescent="0.35">
      <c r="C76" t="s">
        <v>321</v>
      </c>
      <c r="E76" t="s">
        <v>53</v>
      </c>
      <c r="F76" t="s">
        <v>328</v>
      </c>
      <c r="G76" t="s">
        <v>331</v>
      </c>
      <c r="H76" t="s">
        <v>134</v>
      </c>
      <c r="I76" t="s">
        <v>332</v>
      </c>
    </row>
    <row r="77" spans="3:9" x14ac:dyDescent="0.35">
      <c r="C77" t="s">
        <v>228</v>
      </c>
      <c r="E77" t="s">
        <v>53</v>
      </c>
      <c r="F77" t="s">
        <v>328</v>
      </c>
      <c r="G77" t="s">
        <v>332</v>
      </c>
      <c r="H77" t="s">
        <v>332</v>
      </c>
      <c r="I77" t="s">
        <v>134</v>
      </c>
    </row>
    <row r="78" spans="3:9" x14ac:dyDescent="0.35">
      <c r="C78" t="s">
        <v>333</v>
      </c>
      <c r="E78" t="s">
        <v>54</v>
      </c>
      <c r="F78" t="s">
        <v>334</v>
      </c>
      <c r="G78" t="s">
        <v>335</v>
      </c>
      <c r="H78" t="s">
        <v>134</v>
      </c>
      <c r="I78" t="s">
        <v>336</v>
      </c>
    </row>
    <row r="79" spans="3:9" x14ac:dyDescent="0.35">
      <c r="C79" t="s">
        <v>337</v>
      </c>
      <c r="E79" t="s">
        <v>54</v>
      </c>
      <c r="F79" t="s">
        <v>334</v>
      </c>
      <c r="G79" t="s">
        <v>338</v>
      </c>
      <c r="H79" t="s">
        <v>134</v>
      </c>
      <c r="I79" t="s">
        <v>339</v>
      </c>
    </row>
    <row r="80" spans="3:9" x14ac:dyDescent="0.35">
      <c r="C80" t="s">
        <v>340</v>
      </c>
      <c r="E80" t="s">
        <v>54</v>
      </c>
      <c r="F80" t="s">
        <v>334</v>
      </c>
      <c r="G80" t="s">
        <v>338</v>
      </c>
      <c r="H80" t="s">
        <v>134</v>
      </c>
      <c r="I80" t="s">
        <v>339</v>
      </c>
    </row>
    <row r="81" spans="3:9" x14ac:dyDescent="0.35">
      <c r="C81" t="s">
        <v>341</v>
      </c>
      <c r="E81" t="s">
        <v>55</v>
      </c>
      <c r="F81" t="s">
        <v>334</v>
      </c>
      <c r="G81" t="s">
        <v>342</v>
      </c>
      <c r="H81" t="s">
        <v>134</v>
      </c>
      <c r="I81" t="s">
        <v>343</v>
      </c>
    </row>
    <row r="82" spans="3:9" x14ac:dyDescent="0.35">
      <c r="C82" t="s">
        <v>333</v>
      </c>
      <c r="E82" t="s">
        <v>56</v>
      </c>
      <c r="F82" t="s">
        <v>344</v>
      </c>
      <c r="G82" t="s">
        <v>345</v>
      </c>
      <c r="H82" t="s">
        <v>134</v>
      </c>
      <c r="I82" t="s">
        <v>346</v>
      </c>
    </row>
    <row r="83" spans="3:9" x14ac:dyDescent="0.35">
      <c r="C83" t="s">
        <v>198</v>
      </c>
      <c r="E83" t="s">
        <v>56</v>
      </c>
      <c r="F83" t="s">
        <v>344</v>
      </c>
      <c r="G83" t="s">
        <v>347</v>
      </c>
      <c r="H83" t="s">
        <v>134</v>
      </c>
      <c r="I83" t="s">
        <v>348</v>
      </c>
    </row>
    <row r="84" spans="3:9" x14ac:dyDescent="0.35">
      <c r="C84" t="s">
        <v>349</v>
      </c>
      <c r="E84" t="s">
        <v>56</v>
      </c>
      <c r="F84" t="s">
        <v>344</v>
      </c>
      <c r="G84" t="s">
        <v>350</v>
      </c>
      <c r="H84" t="s">
        <v>134</v>
      </c>
      <c r="I84" t="s">
        <v>351</v>
      </c>
    </row>
    <row r="85" spans="3:9" x14ac:dyDescent="0.35">
      <c r="C85" t="s">
        <v>337</v>
      </c>
      <c r="E85" t="s">
        <v>56</v>
      </c>
      <c r="F85" t="s">
        <v>344</v>
      </c>
      <c r="G85" t="s">
        <v>352</v>
      </c>
      <c r="H85" t="s">
        <v>134</v>
      </c>
      <c r="I85" t="s">
        <v>353</v>
      </c>
    </row>
    <row r="86" spans="3:9" x14ac:dyDescent="0.35">
      <c r="C86" t="s">
        <v>179</v>
      </c>
      <c r="E86" t="s">
        <v>56</v>
      </c>
      <c r="F86" t="s">
        <v>344</v>
      </c>
      <c r="G86" t="s">
        <v>354</v>
      </c>
      <c r="H86" t="s">
        <v>134</v>
      </c>
      <c r="I86" t="s">
        <v>355</v>
      </c>
    </row>
    <row r="87" spans="3:9" x14ac:dyDescent="0.35">
      <c r="C87" t="s">
        <v>356</v>
      </c>
      <c r="E87" t="s">
        <v>57</v>
      </c>
      <c r="F87" t="s">
        <v>57</v>
      </c>
      <c r="G87" t="s">
        <v>357</v>
      </c>
      <c r="H87" t="s">
        <v>134</v>
      </c>
      <c r="I87" t="s">
        <v>358</v>
      </c>
    </row>
    <row r="88" spans="3:9" x14ac:dyDescent="0.35">
      <c r="C88" t="s">
        <v>179</v>
      </c>
      <c r="E88" t="s">
        <v>58</v>
      </c>
      <c r="F88" t="s">
        <v>359</v>
      </c>
      <c r="G88" t="s">
        <v>360</v>
      </c>
      <c r="H88" t="s">
        <v>134</v>
      </c>
      <c r="I88" t="s">
        <v>361</v>
      </c>
    </row>
    <row r="89" spans="3:9" x14ac:dyDescent="0.35">
      <c r="C89" t="s">
        <v>362</v>
      </c>
      <c r="E89" t="s">
        <v>59</v>
      </c>
      <c r="F89" t="s">
        <v>59</v>
      </c>
      <c r="G89" t="s">
        <v>363</v>
      </c>
      <c r="H89" t="s">
        <v>134</v>
      </c>
      <c r="I89" t="s">
        <v>364</v>
      </c>
    </row>
    <row r="90" spans="3:9" x14ac:dyDescent="0.35">
      <c r="C90" t="s">
        <v>365</v>
      </c>
      <c r="E90" t="s">
        <v>60</v>
      </c>
      <c r="F90" t="s">
        <v>366</v>
      </c>
      <c r="G90" t="s">
        <v>367</v>
      </c>
      <c r="H90" t="s">
        <v>134</v>
      </c>
      <c r="I90" t="s">
        <v>368</v>
      </c>
    </row>
    <row r="91" spans="3:9" x14ac:dyDescent="0.35">
      <c r="C91" t="s">
        <v>321</v>
      </c>
      <c r="E91" t="s">
        <v>61</v>
      </c>
      <c r="F91" t="s">
        <v>61</v>
      </c>
      <c r="G91" t="s">
        <v>369</v>
      </c>
      <c r="H91" t="s">
        <v>134</v>
      </c>
      <c r="I91" t="s">
        <v>370</v>
      </c>
    </row>
    <row r="92" spans="3:9" x14ac:dyDescent="0.35">
      <c r="C92" t="s">
        <v>287</v>
      </c>
      <c r="E92" t="s">
        <v>62</v>
      </c>
      <c r="F92" t="s">
        <v>371</v>
      </c>
      <c r="G92" t="s">
        <v>372</v>
      </c>
      <c r="H92" t="s">
        <v>134</v>
      </c>
      <c r="I92" t="s">
        <v>373</v>
      </c>
    </row>
    <row r="93" spans="3:9" x14ac:dyDescent="0.35">
      <c r="C93" t="s">
        <v>287</v>
      </c>
      <c r="E93" t="s">
        <v>62</v>
      </c>
      <c r="F93" t="s">
        <v>371</v>
      </c>
      <c r="G93" t="s">
        <v>374</v>
      </c>
      <c r="H93" t="s">
        <v>134</v>
      </c>
      <c r="I93" t="s">
        <v>375</v>
      </c>
    </row>
    <row r="94" spans="3:9" x14ac:dyDescent="0.35">
      <c r="C94" t="s">
        <v>376</v>
      </c>
      <c r="E94" t="s">
        <v>62</v>
      </c>
      <c r="F94" t="s">
        <v>371</v>
      </c>
      <c r="G94" t="s">
        <v>377</v>
      </c>
      <c r="H94" t="s">
        <v>134</v>
      </c>
      <c r="I94" t="s">
        <v>378</v>
      </c>
    </row>
    <row r="95" spans="3:9" x14ac:dyDescent="0.35">
      <c r="C95" t="s">
        <v>376</v>
      </c>
      <c r="E95" t="s">
        <v>62</v>
      </c>
      <c r="F95" t="s">
        <v>371</v>
      </c>
      <c r="G95" t="s">
        <v>379</v>
      </c>
      <c r="H95" t="s">
        <v>134</v>
      </c>
      <c r="I95" t="s">
        <v>380</v>
      </c>
    </row>
    <row r="96" spans="3:9" x14ac:dyDescent="0.35">
      <c r="C96" t="s">
        <v>179</v>
      </c>
      <c r="E96" t="s">
        <v>62</v>
      </c>
      <c r="F96" t="s">
        <v>371</v>
      </c>
      <c r="G96" t="s">
        <v>381</v>
      </c>
      <c r="H96" t="s">
        <v>134</v>
      </c>
      <c r="I96" t="s">
        <v>382</v>
      </c>
    </row>
    <row r="97" spans="3:9" x14ac:dyDescent="0.35">
      <c r="C97" t="s">
        <v>383</v>
      </c>
      <c r="E97" t="s">
        <v>63</v>
      </c>
      <c r="F97" t="s">
        <v>371</v>
      </c>
      <c r="G97" t="s">
        <v>384</v>
      </c>
      <c r="H97" t="s">
        <v>134</v>
      </c>
      <c r="I97" t="s">
        <v>385</v>
      </c>
    </row>
    <row r="98" spans="3:9" x14ac:dyDescent="0.35">
      <c r="C98" t="s">
        <v>386</v>
      </c>
      <c r="E98" t="s">
        <v>64</v>
      </c>
      <c r="F98" t="s">
        <v>159</v>
      </c>
      <c r="G98" t="s">
        <v>387</v>
      </c>
      <c r="H98" t="s">
        <v>134</v>
      </c>
      <c r="I98" t="s">
        <v>388</v>
      </c>
    </row>
    <row r="99" spans="3:9" x14ac:dyDescent="0.35">
      <c r="C99" t="s">
        <v>188</v>
      </c>
      <c r="E99" t="s">
        <v>65</v>
      </c>
      <c r="F99" t="s">
        <v>65</v>
      </c>
      <c r="G99" t="s">
        <v>389</v>
      </c>
      <c r="H99" t="s">
        <v>134</v>
      </c>
      <c r="I99" t="s">
        <v>390</v>
      </c>
    </row>
    <row r="100" spans="3:9" x14ac:dyDescent="0.35">
      <c r="C100" t="s">
        <v>337</v>
      </c>
      <c r="E100" t="s">
        <v>65</v>
      </c>
      <c r="F100" t="s">
        <v>65</v>
      </c>
      <c r="G100" t="s">
        <v>391</v>
      </c>
      <c r="H100" t="s">
        <v>134</v>
      </c>
      <c r="I100" t="s">
        <v>392</v>
      </c>
    </row>
    <row r="101" spans="3:9" x14ac:dyDescent="0.35">
      <c r="C101" t="s">
        <v>393</v>
      </c>
      <c r="E101" t="s">
        <v>66</v>
      </c>
      <c r="F101" t="s">
        <v>66</v>
      </c>
      <c r="G101" t="s">
        <v>394</v>
      </c>
      <c r="H101" t="s">
        <v>134</v>
      </c>
      <c r="I101" t="s">
        <v>395</v>
      </c>
    </row>
    <row r="102" spans="3:9" x14ac:dyDescent="0.35">
      <c r="C102" t="s">
        <v>279</v>
      </c>
      <c r="E102" t="s">
        <v>67</v>
      </c>
      <c r="F102" t="s">
        <v>396</v>
      </c>
      <c r="G102" t="s">
        <v>397</v>
      </c>
      <c r="H102" t="s">
        <v>134</v>
      </c>
      <c r="I102" t="s">
        <v>398</v>
      </c>
    </row>
    <row r="103" spans="3:9" x14ac:dyDescent="0.35">
      <c r="C103" t="s">
        <v>393</v>
      </c>
      <c r="E103" t="s">
        <v>68</v>
      </c>
      <c r="F103" t="s">
        <v>399</v>
      </c>
      <c r="G103" t="s">
        <v>400</v>
      </c>
      <c r="H103" t="s">
        <v>134</v>
      </c>
      <c r="I103" t="s">
        <v>401</v>
      </c>
    </row>
    <row r="104" spans="3:9" x14ac:dyDescent="0.35">
      <c r="C104" t="s">
        <v>402</v>
      </c>
      <c r="E104" t="s">
        <v>69</v>
      </c>
      <c r="F104" t="s">
        <v>69</v>
      </c>
      <c r="G104" t="s">
        <v>403</v>
      </c>
      <c r="H104" t="s">
        <v>134</v>
      </c>
      <c r="I104" t="s">
        <v>404</v>
      </c>
    </row>
    <row r="105" spans="3:9" x14ac:dyDescent="0.35">
      <c r="C105" t="s">
        <v>150</v>
      </c>
      <c r="E105" t="s">
        <v>70</v>
      </c>
      <c r="F105" t="s">
        <v>70</v>
      </c>
      <c r="G105" t="s">
        <v>405</v>
      </c>
      <c r="H105" t="s">
        <v>134</v>
      </c>
      <c r="I105" t="s">
        <v>406</v>
      </c>
    </row>
    <row r="106" spans="3:9" x14ac:dyDescent="0.35">
      <c r="C106" t="s">
        <v>407</v>
      </c>
      <c r="E106" t="s">
        <v>70</v>
      </c>
      <c r="F106" t="s">
        <v>70</v>
      </c>
      <c r="G106" t="s">
        <v>408</v>
      </c>
      <c r="H106" t="s">
        <v>134</v>
      </c>
      <c r="I106" t="s">
        <v>409</v>
      </c>
    </row>
    <row r="107" spans="3:9" x14ac:dyDescent="0.35">
      <c r="C107" t="s">
        <v>410</v>
      </c>
      <c r="E107" t="s">
        <v>71</v>
      </c>
      <c r="F107" t="s">
        <v>71</v>
      </c>
      <c r="G107" t="s">
        <v>411</v>
      </c>
      <c r="H107" t="s">
        <v>134</v>
      </c>
      <c r="I107" t="s">
        <v>412</v>
      </c>
    </row>
    <row r="108" spans="3:9" x14ac:dyDescent="0.35">
      <c r="C108" t="s">
        <v>224</v>
      </c>
      <c r="E108" t="s">
        <v>71</v>
      </c>
      <c r="F108" t="s">
        <v>71</v>
      </c>
      <c r="G108" t="s">
        <v>413</v>
      </c>
      <c r="H108" t="s">
        <v>134</v>
      </c>
      <c r="I108" t="s">
        <v>414</v>
      </c>
    </row>
    <row r="109" spans="3:9" x14ac:dyDescent="0.35">
      <c r="C109" t="s">
        <v>407</v>
      </c>
      <c r="E109" t="s">
        <v>72</v>
      </c>
      <c r="F109" t="s">
        <v>72</v>
      </c>
      <c r="G109" t="s">
        <v>415</v>
      </c>
      <c r="H109" t="s">
        <v>134</v>
      </c>
      <c r="I109" t="s">
        <v>416</v>
      </c>
    </row>
    <row r="110" spans="3:9" x14ac:dyDescent="0.35">
      <c r="C110" t="s">
        <v>185</v>
      </c>
      <c r="E110" t="s">
        <v>73</v>
      </c>
      <c r="F110" t="s">
        <v>73</v>
      </c>
      <c r="G110" t="s">
        <v>417</v>
      </c>
      <c r="H110" t="s">
        <v>134</v>
      </c>
      <c r="I110" t="s">
        <v>418</v>
      </c>
    </row>
    <row r="111" spans="3:9" x14ac:dyDescent="0.35">
      <c r="C111" t="s">
        <v>419</v>
      </c>
      <c r="E111" t="s">
        <v>74</v>
      </c>
      <c r="F111" t="s">
        <v>420</v>
      </c>
      <c r="G111" t="s">
        <v>421</v>
      </c>
      <c r="H111" t="s">
        <v>134</v>
      </c>
      <c r="I111" t="s">
        <v>422</v>
      </c>
    </row>
    <row r="112" spans="3:9" x14ac:dyDescent="0.35">
      <c r="C112" t="s">
        <v>423</v>
      </c>
      <c r="E112" t="s">
        <v>75</v>
      </c>
      <c r="F112" t="s">
        <v>420</v>
      </c>
      <c r="G112" t="s">
        <v>424</v>
      </c>
      <c r="H112" t="s">
        <v>134</v>
      </c>
      <c r="I112" t="s">
        <v>425</v>
      </c>
    </row>
    <row r="113" spans="3:9" x14ac:dyDescent="0.35">
      <c r="C113" t="s">
        <v>235</v>
      </c>
      <c r="E113" t="s">
        <v>76</v>
      </c>
      <c r="F113" t="s">
        <v>426</v>
      </c>
      <c r="G113" t="s">
        <v>427</v>
      </c>
      <c r="H113" t="s">
        <v>134</v>
      </c>
      <c r="I113" t="s">
        <v>428</v>
      </c>
    </row>
    <row r="114" spans="3:9" x14ac:dyDescent="0.35">
      <c r="C114" t="s">
        <v>301</v>
      </c>
      <c r="E114" t="s">
        <v>76</v>
      </c>
      <c r="F114" t="s">
        <v>426</v>
      </c>
      <c r="G114" t="s">
        <v>429</v>
      </c>
      <c r="H114" t="s">
        <v>134</v>
      </c>
      <c r="I114" t="s">
        <v>430</v>
      </c>
    </row>
    <row r="115" spans="3:9" x14ac:dyDescent="0.35">
      <c r="C115" t="s">
        <v>301</v>
      </c>
      <c r="E115" t="s">
        <v>76</v>
      </c>
      <c r="F115" t="s">
        <v>426</v>
      </c>
      <c r="G115" t="s">
        <v>431</v>
      </c>
      <c r="H115" t="s">
        <v>134</v>
      </c>
      <c r="I115" t="s">
        <v>432</v>
      </c>
    </row>
    <row r="116" spans="3:9" x14ac:dyDescent="0.35">
      <c r="C116" t="s">
        <v>433</v>
      </c>
      <c r="E116" t="s">
        <v>76</v>
      </c>
      <c r="F116" t="s">
        <v>426</v>
      </c>
      <c r="G116" t="s">
        <v>434</v>
      </c>
      <c r="H116" t="s">
        <v>134</v>
      </c>
      <c r="I116" t="s">
        <v>435</v>
      </c>
    </row>
    <row r="117" spans="3:9" x14ac:dyDescent="0.35">
      <c r="C117" t="s">
        <v>433</v>
      </c>
      <c r="E117" t="s">
        <v>76</v>
      </c>
      <c r="F117" t="s">
        <v>426</v>
      </c>
      <c r="G117" t="s">
        <v>436</v>
      </c>
      <c r="H117" t="s">
        <v>134</v>
      </c>
      <c r="I117" t="s">
        <v>437</v>
      </c>
    </row>
    <row r="118" spans="3:9" x14ac:dyDescent="0.35">
      <c r="C118" t="s">
        <v>141</v>
      </c>
      <c r="E118" t="s">
        <v>77</v>
      </c>
      <c r="F118" t="s">
        <v>77</v>
      </c>
      <c r="G118" t="s">
        <v>438</v>
      </c>
      <c r="H118" t="s">
        <v>134</v>
      </c>
      <c r="I118" t="s">
        <v>439</v>
      </c>
    </row>
    <row r="119" spans="3:9" x14ac:dyDescent="0.35">
      <c r="C119" t="s">
        <v>440</v>
      </c>
      <c r="E119" t="s">
        <v>77</v>
      </c>
      <c r="F119" t="s">
        <v>77</v>
      </c>
      <c r="G119" t="s">
        <v>441</v>
      </c>
      <c r="H119" t="s">
        <v>134</v>
      </c>
      <c r="I119" t="s">
        <v>442</v>
      </c>
    </row>
    <row r="120" spans="3:9" x14ac:dyDescent="0.35">
      <c r="C120" t="s">
        <v>224</v>
      </c>
      <c r="E120" t="s">
        <v>77</v>
      </c>
      <c r="F120" t="s">
        <v>77</v>
      </c>
      <c r="G120" t="s">
        <v>443</v>
      </c>
      <c r="H120" t="s">
        <v>134</v>
      </c>
      <c r="I120" t="s">
        <v>444</v>
      </c>
    </row>
    <row r="121" spans="3:9" x14ac:dyDescent="0.35">
      <c r="C121" t="s">
        <v>445</v>
      </c>
      <c r="E121" t="s">
        <v>78</v>
      </c>
      <c r="F121" t="s">
        <v>78</v>
      </c>
      <c r="G121" t="s">
        <v>446</v>
      </c>
      <c r="H121" t="s">
        <v>134</v>
      </c>
      <c r="I121" t="s">
        <v>447</v>
      </c>
    </row>
    <row r="122" spans="3:9" x14ac:dyDescent="0.35">
      <c r="C122" t="s">
        <v>448</v>
      </c>
      <c r="E122" t="s">
        <v>79</v>
      </c>
      <c r="F122" t="s">
        <v>449</v>
      </c>
      <c r="G122" t="s">
        <v>450</v>
      </c>
      <c r="H122" t="s">
        <v>134</v>
      </c>
      <c r="I122" t="s">
        <v>451</v>
      </c>
    </row>
    <row r="123" spans="3:9" x14ac:dyDescent="0.35">
      <c r="C123" t="s">
        <v>150</v>
      </c>
      <c r="E123" t="s">
        <v>80</v>
      </c>
      <c r="F123" t="s">
        <v>449</v>
      </c>
      <c r="G123" t="s">
        <v>452</v>
      </c>
      <c r="H123" t="s">
        <v>134</v>
      </c>
      <c r="I123" t="s">
        <v>453</v>
      </c>
    </row>
    <row r="124" spans="3:9" x14ac:dyDescent="0.35">
      <c r="C124" t="s">
        <v>454</v>
      </c>
      <c r="E124" t="s">
        <v>81</v>
      </c>
      <c r="F124" t="s">
        <v>81</v>
      </c>
      <c r="G124" t="s">
        <v>455</v>
      </c>
      <c r="H124" t="s">
        <v>455</v>
      </c>
      <c r="I124" t="s">
        <v>134</v>
      </c>
    </row>
    <row r="125" spans="3:9" x14ac:dyDescent="0.35">
      <c r="C125" t="s">
        <v>456</v>
      </c>
      <c r="E125" t="s">
        <v>81</v>
      </c>
      <c r="F125" t="s">
        <v>81</v>
      </c>
      <c r="G125" t="s">
        <v>457</v>
      </c>
      <c r="H125" t="s">
        <v>457</v>
      </c>
      <c r="I125" t="s">
        <v>134</v>
      </c>
    </row>
    <row r="126" spans="3:9" x14ac:dyDescent="0.35">
      <c r="C126" t="s">
        <v>458</v>
      </c>
      <c r="E126" t="s">
        <v>81</v>
      </c>
      <c r="F126" t="s">
        <v>81</v>
      </c>
      <c r="G126" t="s">
        <v>459</v>
      </c>
      <c r="H126" t="s">
        <v>459</v>
      </c>
      <c r="I126" t="s">
        <v>134</v>
      </c>
    </row>
    <row r="127" spans="3:9" x14ac:dyDescent="0.35">
      <c r="C127" t="s">
        <v>376</v>
      </c>
      <c r="E127" t="s">
        <v>81</v>
      </c>
      <c r="F127" t="s">
        <v>81</v>
      </c>
      <c r="G127" t="s">
        <v>460</v>
      </c>
      <c r="H127" t="s">
        <v>460</v>
      </c>
      <c r="I127" t="s">
        <v>134</v>
      </c>
    </row>
    <row r="128" spans="3:9" x14ac:dyDescent="0.35">
      <c r="C128" t="s">
        <v>256</v>
      </c>
      <c r="E128" t="s">
        <v>81</v>
      </c>
      <c r="F128" t="s">
        <v>81</v>
      </c>
      <c r="G128" t="s">
        <v>461</v>
      </c>
      <c r="H128" t="s">
        <v>461</v>
      </c>
      <c r="I128" t="s">
        <v>134</v>
      </c>
    </row>
    <row r="129" spans="3:9" x14ac:dyDescent="0.35">
      <c r="C129" t="s">
        <v>462</v>
      </c>
      <c r="E129" t="s">
        <v>81</v>
      </c>
      <c r="F129" t="s">
        <v>81</v>
      </c>
      <c r="G129" t="s">
        <v>461</v>
      </c>
      <c r="H129" t="s">
        <v>461</v>
      </c>
      <c r="I129" t="s">
        <v>134</v>
      </c>
    </row>
    <row r="130" spans="3:9" x14ac:dyDescent="0.35">
      <c r="C130" t="s">
        <v>265</v>
      </c>
      <c r="E130" t="s">
        <v>81</v>
      </c>
      <c r="F130" t="s">
        <v>81</v>
      </c>
      <c r="G130" t="s">
        <v>461</v>
      </c>
      <c r="H130" t="s">
        <v>461</v>
      </c>
      <c r="I130" t="s">
        <v>134</v>
      </c>
    </row>
    <row r="131" spans="3:9" x14ac:dyDescent="0.35">
      <c r="C131" t="s">
        <v>205</v>
      </c>
      <c r="E131" t="s">
        <v>81</v>
      </c>
      <c r="F131" t="s">
        <v>81</v>
      </c>
      <c r="G131" t="s">
        <v>463</v>
      </c>
      <c r="H131" t="s">
        <v>463</v>
      </c>
      <c r="I131" t="s">
        <v>134</v>
      </c>
    </row>
    <row r="132" spans="3:9" x14ac:dyDescent="0.35">
      <c r="C132" t="s">
        <v>224</v>
      </c>
      <c r="E132" t="s">
        <v>81</v>
      </c>
      <c r="F132" t="s">
        <v>81</v>
      </c>
      <c r="G132" t="s">
        <v>464</v>
      </c>
      <c r="H132" t="s">
        <v>464</v>
      </c>
      <c r="I132" t="s">
        <v>134</v>
      </c>
    </row>
    <row r="133" spans="3:9" x14ac:dyDescent="0.35">
      <c r="C133" t="s">
        <v>465</v>
      </c>
      <c r="E133" t="s">
        <v>81</v>
      </c>
      <c r="F133" t="s">
        <v>81</v>
      </c>
      <c r="G133" t="s">
        <v>466</v>
      </c>
      <c r="H133" t="s">
        <v>466</v>
      </c>
      <c r="I133" t="s">
        <v>134</v>
      </c>
    </row>
    <row r="134" spans="3:9" x14ac:dyDescent="0.35">
      <c r="C134" t="s">
        <v>324</v>
      </c>
      <c r="E134" t="s">
        <v>82</v>
      </c>
      <c r="F134" t="s">
        <v>82</v>
      </c>
      <c r="G134" t="s">
        <v>467</v>
      </c>
      <c r="H134" t="s">
        <v>467</v>
      </c>
      <c r="I134" t="s">
        <v>134</v>
      </c>
    </row>
    <row r="135" spans="3:9" x14ac:dyDescent="0.35">
      <c r="C135" t="s">
        <v>242</v>
      </c>
      <c r="E135" t="s">
        <v>82</v>
      </c>
      <c r="F135" t="s">
        <v>82</v>
      </c>
      <c r="G135" t="s">
        <v>468</v>
      </c>
      <c r="H135" t="s">
        <v>468</v>
      </c>
      <c r="I135" t="s">
        <v>134</v>
      </c>
    </row>
    <row r="136" spans="3:9" x14ac:dyDescent="0.35">
      <c r="C136" t="s">
        <v>305</v>
      </c>
      <c r="E136" t="s">
        <v>82</v>
      </c>
      <c r="F136" t="s">
        <v>82</v>
      </c>
      <c r="G136" t="s">
        <v>466</v>
      </c>
      <c r="H136" t="s">
        <v>466</v>
      </c>
      <c r="I136" t="s">
        <v>134</v>
      </c>
    </row>
    <row r="137" spans="3:9" x14ac:dyDescent="0.35">
      <c r="C137" t="s">
        <v>150</v>
      </c>
      <c r="E137" t="s">
        <v>83</v>
      </c>
      <c r="F137" t="s">
        <v>469</v>
      </c>
      <c r="G137" t="s">
        <v>470</v>
      </c>
      <c r="H137" t="s">
        <v>134</v>
      </c>
      <c r="I137" t="s">
        <v>471</v>
      </c>
    </row>
    <row r="138" spans="3:9" x14ac:dyDescent="0.35">
      <c r="C138" t="s">
        <v>407</v>
      </c>
      <c r="E138" t="s">
        <v>83</v>
      </c>
      <c r="F138" t="s">
        <v>469</v>
      </c>
      <c r="G138" t="s">
        <v>472</v>
      </c>
      <c r="H138" t="s">
        <v>134</v>
      </c>
      <c r="I138" t="s">
        <v>473</v>
      </c>
    </row>
    <row r="139" spans="3:9" x14ac:dyDescent="0.35">
      <c r="C139" t="s">
        <v>407</v>
      </c>
      <c r="E139" t="s">
        <v>83</v>
      </c>
      <c r="F139" t="s">
        <v>469</v>
      </c>
      <c r="G139" t="s">
        <v>374</v>
      </c>
      <c r="H139" t="s">
        <v>134</v>
      </c>
      <c r="I139" t="s">
        <v>375</v>
      </c>
    </row>
    <row r="140" spans="3:9" x14ac:dyDescent="0.35">
      <c r="C140" t="s">
        <v>474</v>
      </c>
      <c r="E140" t="s">
        <v>84</v>
      </c>
      <c r="F140" t="s">
        <v>475</v>
      </c>
      <c r="G140" t="s">
        <v>476</v>
      </c>
      <c r="H140" t="s">
        <v>134</v>
      </c>
      <c r="I140" t="s">
        <v>477</v>
      </c>
    </row>
    <row r="141" spans="3:9" x14ac:dyDescent="0.35">
      <c r="C141" t="s">
        <v>478</v>
      </c>
      <c r="E141" t="s">
        <v>84</v>
      </c>
      <c r="F141" t="s">
        <v>475</v>
      </c>
      <c r="G141" t="s">
        <v>479</v>
      </c>
      <c r="H141" t="s">
        <v>134</v>
      </c>
      <c r="I141" t="s">
        <v>480</v>
      </c>
    </row>
    <row r="142" spans="3:9" x14ac:dyDescent="0.35">
      <c r="C142" t="s">
        <v>481</v>
      </c>
      <c r="E142" t="s">
        <v>85</v>
      </c>
      <c r="F142" t="s">
        <v>85</v>
      </c>
      <c r="G142" t="s">
        <v>482</v>
      </c>
      <c r="H142" t="s">
        <v>134</v>
      </c>
      <c r="I142" t="s">
        <v>483</v>
      </c>
    </row>
    <row r="143" spans="3:9" x14ac:dyDescent="0.35">
      <c r="C143" t="s">
        <v>235</v>
      </c>
      <c r="E143" t="s">
        <v>86</v>
      </c>
      <c r="F143" t="s">
        <v>484</v>
      </c>
      <c r="G143" t="s">
        <v>485</v>
      </c>
      <c r="H143" t="s">
        <v>134</v>
      </c>
      <c r="I143" t="s">
        <v>486</v>
      </c>
    </row>
    <row r="144" spans="3:9" x14ac:dyDescent="0.35">
      <c r="C144" t="s">
        <v>185</v>
      </c>
      <c r="E144" t="s">
        <v>87</v>
      </c>
      <c r="F144" t="s">
        <v>484</v>
      </c>
      <c r="G144" t="s">
        <v>487</v>
      </c>
      <c r="H144" t="s">
        <v>134</v>
      </c>
      <c r="I144" t="s">
        <v>488</v>
      </c>
    </row>
    <row r="145" spans="3:9" x14ac:dyDescent="0.35">
      <c r="C145" t="s">
        <v>185</v>
      </c>
      <c r="E145" t="s">
        <v>87</v>
      </c>
      <c r="F145" t="s">
        <v>484</v>
      </c>
      <c r="G145" t="s">
        <v>489</v>
      </c>
      <c r="H145" t="s">
        <v>134</v>
      </c>
      <c r="I145" t="s">
        <v>490</v>
      </c>
    </row>
    <row r="146" spans="3:9" x14ac:dyDescent="0.35">
      <c r="C146" t="s">
        <v>433</v>
      </c>
      <c r="E146" t="s">
        <v>88</v>
      </c>
      <c r="F146" t="s">
        <v>491</v>
      </c>
      <c r="G146" t="s">
        <v>492</v>
      </c>
      <c r="H146" t="s">
        <v>134</v>
      </c>
      <c r="I146" t="s">
        <v>493</v>
      </c>
    </row>
    <row r="147" spans="3:9" x14ac:dyDescent="0.35">
      <c r="C147" t="s">
        <v>198</v>
      </c>
      <c r="E147" t="s">
        <v>89</v>
      </c>
      <c r="F147" t="s">
        <v>494</v>
      </c>
      <c r="G147" t="s">
        <v>495</v>
      </c>
      <c r="H147" t="s">
        <v>134</v>
      </c>
      <c r="I147" t="s">
        <v>496</v>
      </c>
    </row>
    <row r="148" spans="3:9" x14ac:dyDescent="0.35">
      <c r="C148" t="s">
        <v>497</v>
      </c>
      <c r="E148" t="s">
        <v>90</v>
      </c>
      <c r="F148" t="s">
        <v>498</v>
      </c>
      <c r="G148" t="s">
        <v>499</v>
      </c>
      <c r="H148" t="s">
        <v>134</v>
      </c>
      <c r="I148" t="s">
        <v>500</v>
      </c>
    </row>
    <row r="149" spans="3:9" x14ac:dyDescent="0.35">
      <c r="C149" t="s">
        <v>462</v>
      </c>
      <c r="E149" t="s">
        <v>91</v>
      </c>
      <c r="F149" t="s">
        <v>498</v>
      </c>
      <c r="G149" t="s">
        <v>501</v>
      </c>
      <c r="H149" t="s">
        <v>134</v>
      </c>
      <c r="I149" t="s">
        <v>502</v>
      </c>
    </row>
    <row r="150" spans="3:9" x14ac:dyDescent="0.35">
      <c r="C150" t="s">
        <v>503</v>
      </c>
      <c r="E150" t="s">
        <v>91</v>
      </c>
      <c r="F150" t="s">
        <v>498</v>
      </c>
      <c r="G150" t="s">
        <v>504</v>
      </c>
      <c r="H150" t="s">
        <v>134</v>
      </c>
      <c r="I150" t="s">
        <v>505</v>
      </c>
    </row>
    <row r="151" spans="3:9" x14ac:dyDescent="0.35">
      <c r="C151" t="s">
        <v>506</v>
      </c>
      <c r="E151" t="s">
        <v>92</v>
      </c>
      <c r="F151" t="s">
        <v>498</v>
      </c>
      <c r="G151" t="s">
        <v>507</v>
      </c>
      <c r="H151" t="s">
        <v>134</v>
      </c>
      <c r="I151" t="s">
        <v>508</v>
      </c>
    </row>
    <row r="152" spans="3:9" x14ac:dyDescent="0.35">
      <c r="C152" t="s">
        <v>433</v>
      </c>
      <c r="E152" t="s">
        <v>92</v>
      </c>
      <c r="F152" t="s">
        <v>498</v>
      </c>
      <c r="G152" t="s">
        <v>159</v>
      </c>
      <c r="H152" t="s">
        <v>134</v>
      </c>
      <c r="I152" t="s">
        <v>159</v>
      </c>
    </row>
    <row r="153" spans="3:9" x14ac:dyDescent="0.35">
      <c r="C153" t="s">
        <v>509</v>
      </c>
      <c r="E153" t="s">
        <v>92</v>
      </c>
      <c r="F153" t="s">
        <v>498</v>
      </c>
      <c r="G153" t="s">
        <v>510</v>
      </c>
      <c r="H153" t="s">
        <v>134</v>
      </c>
      <c r="I153" t="s">
        <v>511</v>
      </c>
    </row>
    <row r="154" spans="3:9" x14ac:dyDescent="0.35">
      <c r="C154" t="s">
        <v>410</v>
      </c>
      <c r="E154" t="s">
        <v>93</v>
      </c>
      <c r="F154" t="s">
        <v>512</v>
      </c>
      <c r="G154" t="s">
        <v>513</v>
      </c>
      <c r="H154" t="s">
        <v>134</v>
      </c>
      <c r="I154" t="s">
        <v>514</v>
      </c>
    </row>
    <row r="155" spans="3:9" x14ac:dyDescent="0.35">
      <c r="C155" t="s">
        <v>515</v>
      </c>
      <c r="E155" t="s">
        <v>94</v>
      </c>
      <c r="F155" t="s">
        <v>498</v>
      </c>
      <c r="G155" t="s">
        <v>516</v>
      </c>
      <c r="H155" t="s">
        <v>134</v>
      </c>
      <c r="I155" t="s">
        <v>517</v>
      </c>
    </row>
    <row r="156" spans="3:9" x14ac:dyDescent="0.35">
      <c r="C156" t="s">
        <v>458</v>
      </c>
      <c r="E156" t="s">
        <v>95</v>
      </c>
      <c r="F156" t="s">
        <v>512</v>
      </c>
      <c r="G156" t="s">
        <v>518</v>
      </c>
      <c r="H156" t="s">
        <v>134</v>
      </c>
      <c r="I156" t="s">
        <v>519</v>
      </c>
    </row>
    <row r="157" spans="3:9" x14ac:dyDescent="0.35">
      <c r="C157" t="s">
        <v>520</v>
      </c>
      <c r="E157" t="s">
        <v>96</v>
      </c>
      <c r="F157" t="s">
        <v>512</v>
      </c>
      <c r="G157" t="s">
        <v>429</v>
      </c>
      <c r="H157" t="s">
        <v>134</v>
      </c>
      <c r="I157" t="s">
        <v>430</v>
      </c>
    </row>
    <row r="158" spans="3:9" x14ac:dyDescent="0.35">
      <c r="C158" t="s">
        <v>188</v>
      </c>
      <c r="E158" t="s">
        <v>97</v>
      </c>
      <c r="F158" t="s">
        <v>498</v>
      </c>
      <c r="G158" t="s">
        <v>521</v>
      </c>
      <c r="H158" t="s">
        <v>134</v>
      </c>
      <c r="I158" t="s">
        <v>522</v>
      </c>
    </row>
    <row r="159" spans="3:9" x14ac:dyDescent="0.35">
      <c r="C159" t="s">
        <v>228</v>
      </c>
      <c r="E159" t="s">
        <v>98</v>
      </c>
      <c r="F159" t="s">
        <v>98</v>
      </c>
      <c r="G159" t="s">
        <v>523</v>
      </c>
      <c r="H159" t="s">
        <v>134</v>
      </c>
      <c r="I159" t="s">
        <v>524</v>
      </c>
    </row>
    <row r="160" spans="3:9" x14ac:dyDescent="0.35">
      <c r="C160" t="s">
        <v>228</v>
      </c>
      <c r="E160" t="s">
        <v>98</v>
      </c>
      <c r="F160" t="s">
        <v>98</v>
      </c>
      <c r="G160" t="s">
        <v>523</v>
      </c>
      <c r="H160" t="s">
        <v>134</v>
      </c>
      <c r="I160" t="s">
        <v>524</v>
      </c>
    </row>
    <row r="161" spans="3:9" x14ac:dyDescent="0.35">
      <c r="C161" t="s">
        <v>228</v>
      </c>
      <c r="E161" t="s">
        <v>98</v>
      </c>
      <c r="F161" t="s">
        <v>98</v>
      </c>
      <c r="G161" t="s">
        <v>523</v>
      </c>
      <c r="H161" t="s">
        <v>134</v>
      </c>
      <c r="I161" t="s">
        <v>524</v>
      </c>
    </row>
    <row r="162" spans="3:9" x14ac:dyDescent="0.35">
      <c r="C162" t="s">
        <v>228</v>
      </c>
      <c r="E162" t="s">
        <v>99</v>
      </c>
      <c r="F162" t="s">
        <v>99</v>
      </c>
      <c r="G162" t="s">
        <v>523</v>
      </c>
      <c r="H162" t="s">
        <v>134</v>
      </c>
      <c r="I162" t="s">
        <v>524</v>
      </c>
    </row>
    <row r="163" spans="3:9" x14ac:dyDescent="0.35">
      <c r="C163" t="s">
        <v>211</v>
      </c>
      <c r="E163" t="s">
        <v>100</v>
      </c>
      <c r="F163" t="s">
        <v>100</v>
      </c>
      <c r="G163" t="s">
        <v>525</v>
      </c>
      <c r="H163" t="s">
        <v>134</v>
      </c>
      <c r="I163" t="s">
        <v>526</v>
      </c>
    </row>
    <row r="164" spans="3:9" x14ac:dyDescent="0.35">
      <c r="C164" t="s">
        <v>527</v>
      </c>
      <c r="E164" t="s">
        <v>101</v>
      </c>
      <c r="F164" t="s">
        <v>528</v>
      </c>
      <c r="G164" t="s">
        <v>529</v>
      </c>
      <c r="H164" t="s">
        <v>134</v>
      </c>
      <c r="I164" t="s">
        <v>530</v>
      </c>
    </row>
    <row r="165" spans="3:9" x14ac:dyDescent="0.35">
      <c r="C165" t="s">
        <v>527</v>
      </c>
      <c r="E165" t="s">
        <v>101</v>
      </c>
      <c r="F165" t="s">
        <v>528</v>
      </c>
      <c r="G165" t="s">
        <v>531</v>
      </c>
      <c r="H165" t="s">
        <v>134</v>
      </c>
      <c r="I165" t="s">
        <v>532</v>
      </c>
    </row>
    <row r="166" spans="3:9" x14ac:dyDescent="0.35">
      <c r="C166" t="s">
        <v>448</v>
      </c>
      <c r="E166" t="s">
        <v>101</v>
      </c>
      <c r="F166" t="s">
        <v>528</v>
      </c>
      <c r="G166" t="s">
        <v>533</v>
      </c>
      <c r="H166" t="s">
        <v>134</v>
      </c>
      <c r="I166" t="s">
        <v>534</v>
      </c>
    </row>
    <row r="167" spans="3:9" x14ac:dyDescent="0.35">
      <c r="C167" t="s">
        <v>195</v>
      </c>
      <c r="E167" t="s">
        <v>101</v>
      </c>
      <c r="F167" t="s">
        <v>528</v>
      </c>
      <c r="G167" t="s">
        <v>535</v>
      </c>
      <c r="H167" t="s">
        <v>134</v>
      </c>
      <c r="I167" t="s">
        <v>536</v>
      </c>
    </row>
    <row r="168" spans="3:9" x14ac:dyDescent="0.35">
      <c r="C168" t="s">
        <v>188</v>
      </c>
      <c r="E168" t="s">
        <v>101</v>
      </c>
      <c r="F168" t="s">
        <v>528</v>
      </c>
      <c r="G168" t="s">
        <v>537</v>
      </c>
      <c r="H168" t="s">
        <v>134</v>
      </c>
      <c r="I168" t="s">
        <v>538</v>
      </c>
    </row>
    <row r="169" spans="3:9" x14ac:dyDescent="0.35">
      <c r="C169" t="s">
        <v>179</v>
      </c>
      <c r="E169" t="s">
        <v>101</v>
      </c>
      <c r="F169" t="s">
        <v>528</v>
      </c>
      <c r="G169" t="s">
        <v>539</v>
      </c>
      <c r="H169" t="s">
        <v>134</v>
      </c>
      <c r="I169" t="s">
        <v>540</v>
      </c>
    </row>
    <row r="170" spans="3:9" x14ac:dyDescent="0.35">
      <c r="C170" t="s">
        <v>294</v>
      </c>
      <c r="E170" t="s">
        <v>101</v>
      </c>
      <c r="F170" t="s">
        <v>528</v>
      </c>
      <c r="G170" t="s">
        <v>541</v>
      </c>
      <c r="H170" t="s">
        <v>134</v>
      </c>
      <c r="I170" t="s">
        <v>542</v>
      </c>
    </row>
    <row r="171" spans="3:9" x14ac:dyDescent="0.35">
      <c r="C171" t="s">
        <v>158</v>
      </c>
      <c r="E171" t="s">
        <v>102</v>
      </c>
      <c r="F171" t="s">
        <v>102</v>
      </c>
      <c r="G171" t="s">
        <v>543</v>
      </c>
      <c r="H171" t="s">
        <v>134</v>
      </c>
      <c r="I171" t="s">
        <v>544</v>
      </c>
    </row>
    <row r="172" spans="3:9" x14ac:dyDescent="0.35">
      <c r="C172" t="s">
        <v>131</v>
      </c>
      <c r="E172" t="s">
        <v>103</v>
      </c>
      <c r="F172" t="s">
        <v>545</v>
      </c>
      <c r="G172" t="s">
        <v>546</v>
      </c>
      <c r="H172" t="s">
        <v>134</v>
      </c>
      <c r="I172" t="s">
        <v>547</v>
      </c>
    </row>
    <row r="173" spans="3:9" x14ac:dyDescent="0.35">
      <c r="C173" t="s">
        <v>448</v>
      </c>
      <c r="E173" t="s">
        <v>103</v>
      </c>
      <c r="F173" t="s">
        <v>545</v>
      </c>
      <c r="G173" t="s">
        <v>548</v>
      </c>
      <c r="H173" t="s">
        <v>134</v>
      </c>
      <c r="I173" t="s">
        <v>549</v>
      </c>
    </row>
    <row r="174" spans="3:9" x14ac:dyDescent="0.35">
      <c r="C174" t="s">
        <v>249</v>
      </c>
      <c r="E174" t="s">
        <v>104</v>
      </c>
      <c r="F174" t="s">
        <v>545</v>
      </c>
      <c r="G174" t="s">
        <v>550</v>
      </c>
      <c r="H174" t="s">
        <v>134</v>
      </c>
      <c r="I174" t="s">
        <v>551</v>
      </c>
    </row>
    <row r="175" spans="3:9" x14ac:dyDescent="0.35">
      <c r="C175" t="s">
        <v>191</v>
      </c>
      <c r="E175" t="s">
        <v>105</v>
      </c>
      <c r="F175" t="s">
        <v>552</v>
      </c>
      <c r="G175" t="s">
        <v>553</v>
      </c>
      <c r="H175" t="s">
        <v>134</v>
      </c>
      <c r="I175" t="s">
        <v>554</v>
      </c>
    </row>
    <row r="176" spans="3:9" x14ac:dyDescent="0.35">
      <c r="C176" t="s">
        <v>242</v>
      </c>
      <c r="E176" t="s">
        <v>106</v>
      </c>
      <c r="F176" t="s">
        <v>555</v>
      </c>
      <c r="G176" t="s">
        <v>556</v>
      </c>
      <c r="H176" t="s">
        <v>134</v>
      </c>
      <c r="I176" t="s">
        <v>557</v>
      </c>
    </row>
    <row r="177" spans="3:9" x14ac:dyDescent="0.35">
      <c r="C177" t="s">
        <v>242</v>
      </c>
      <c r="E177" t="s">
        <v>106</v>
      </c>
      <c r="F177" t="s">
        <v>555</v>
      </c>
      <c r="G177" t="s">
        <v>558</v>
      </c>
      <c r="H177" t="s">
        <v>134</v>
      </c>
      <c r="I177" t="s">
        <v>559</v>
      </c>
    </row>
    <row r="178" spans="3:9" x14ac:dyDescent="0.35">
      <c r="C178" t="s">
        <v>242</v>
      </c>
      <c r="E178" t="s">
        <v>106</v>
      </c>
      <c r="F178" t="s">
        <v>555</v>
      </c>
      <c r="G178" t="s">
        <v>560</v>
      </c>
      <c r="H178" t="s">
        <v>134</v>
      </c>
      <c r="I178" t="s">
        <v>561</v>
      </c>
    </row>
    <row r="179" spans="3:9" x14ac:dyDescent="0.35">
      <c r="C179" t="s">
        <v>242</v>
      </c>
      <c r="E179" t="s">
        <v>106</v>
      </c>
      <c r="F179" t="s">
        <v>555</v>
      </c>
      <c r="G179" t="s">
        <v>562</v>
      </c>
      <c r="H179" t="s">
        <v>134</v>
      </c>
      <c r="I179" t="s">
        <v>563</v>
      </c>
    </row>
    <row r="180" spans="3:9" x14ac:dyDescent="0.35">
      <c r="C180" t="s">
        <v>242</v>
      </c>
      <c r="E180" t="s">
        <v>106</v>
      </c>
      <c r="F180" t="s">
        <v>555</v>
      </c>
      <c r="G180" t="s">
        <v>564</v>
      </c>
      <c r="H180" t="s">
        <v>134</v>
      </c>
      <c r="I180" t="s">
        <v>565</v>
      </c>
    </row>
    <row r="181" spans="3:9" x14ac:dyDescent="0.35">
      <c r="C181" t="s">
        <v>242</v>
      </c>
      <c r="E181" t="s">
        <v>106</v>
      </c>
      <c r="F181" t="s">
        <v>555</v>
      </c>
      <c r="G181" t="s">
        <v>566</v>
      </c>
      <c r="H181" t="s">
        <v>134</v>
      </c>
      <c r="I181" t="s">
        <v>567</v>
      </c>
    </row>
    <row r="182" spans="3:9" x14ac:dyDescent="0.35">
      <c r="C182" t="s">
        <v>150</v>
      </c>
      <c r="E182" t="s">
        <v>107</v>
      </c>
      <c r="F182" t="s">
        <v>107</v>
      </c>
      <c r="G182" t="s">
        <v>568</v>
      </c>
      <c r="H182" t="s">
        <v>134</v>
      </c>
      <c r="I182" t="s">
        <v>569</v>
      </c>
    </row>
    <row r="183" spans="3:9" x14ac:dyDescent="0.35">
      <c r="C183" t="s">
        <v>337</v>
      </c>
      <c r="E183" t="s">
        <v>108</v>
      </c>
      <c r="F183" t="s">
        <v>570</v>
      </c>
      <c r="G183" t="s">
        <v>159</v>
      </c>
      <c r="H183" t="s">
        <v>134</v>
      </c>
      <c r="I183" t="s">
        <v>159</v>
      </c>
    </row>
    <row r="184" spans="3:9" x14ac:dyDescent="0.35">
      <c r="C184" t="s">
        <v>192</v>
      </c>
      <c r="E184" t="s">
        <v>109</v>
      </c>
      <c r="F184" t="s">
        <v>571</v>
      </c>
      <c r="G184" t="s">
        <v>572</v>
      </c>
      <c r="H184" t="s">
        <v>134</v>
      </c>
      <c r="I184" t="s">
        <v>573</v>
      </c>
    </row>
    <row r="185" spans="3:9" x14ac:dyDescent="0.35">
      <c r="C185" t="s">
        <v>574</v>
      </c>
      <c r="E185" t="s">
        <v>110</v>
      </c>
      <c r="F185" t="s">
        <v>571</v>
      </c>
      <c r="G185" t="s">
        <v>575</v>
      </c>
      <c r="H185" t="s">
        <v>134</v>
      </c>
      <c r="I185" t="s">
        <v>576</v>
      </c>
    </row>
    <row r="186" spans="3:9" x14ac:dyDescent="0.35">
      <c r="C186" t="s">
        <v>574</v>
      </c>
      <c r="E186" t="s">
        <v>111</v>
      </c>
      <c r="F186" t="s">
        <v>571</v>
      </c>
      <c r="G186" t="s">
        <v>577</v>
      </c>
      <c r="H186" t="s">
        <v>134</v>
      </c>
      <c r="I186" t="s">
        <v>578</v>
      </c>
    </row>
    <row r="187" spans="3:9" x14ac:dyDescent="0.35">
      <c r="C187" t="s">
        <v>262</v>
      </c>
      <c r="E187" t="s">
        <v>112</v>
      </c>
      <c r="F187" t="s">
        <v>112</v>
      </c>
      <c r="G187" t="s">
        <v>579</v>
      </c>
      <c r="H187" t="s">
        <v>134</v>
      </c>
      <c r="I187" t="s">
        <v>580</v>
      </c>
    </row>
    <row r="188" spans="3:9" x14ac:dyDescent="0.35">
      <c r="C188" t="s">
        <v>581</v>
      </c>
      <c r="E188" t="s">
        <v>113</v>
      </c>
      <c r="F188" t="s">
        <v>113</v>
      </c>
      <c r="G188" t="s">
        <v>582</v>
      </c>
      <c r="H188" t="s">
        <v>134</v>
      </c>
      <c r="I188" t="s">
        <v>583</v>
      </c>
    </row>
    <row r="189" spans="3:9" x14ac:dyDescent="0.35">
      <c r="C189" t="s">
        <v>584</v>
      </c>
      <c r="E189" t="s">
        <v>113</v>
      </c>
      <c r="F189" t="s">
        <v>113</v>
      </c>
      <c r="G189" t="s">
        <v>159</v>
      </c>
      <c r="H189" t="s">
        <v>134</v>
      </c>
      <c r="I189" t="s">
        <v>159</v>
      </c>
    </row>
    <row r="190" spans="3:9" x14ac:dyDescent="0.35">
      <c r="C190" t="s">
        <v>195</v>
      </c>
      <c r="E190" t="s">
        <v>113</v>
      </c>
      <c r="F190" t="s">
        <v>113</v>
      </c>
      <c r="G190" t="s">
        <v>585</v>
      </c>
      <c r="H190" t="s">
        <v>134</v>
      </c>
      <c r="I190" t="s">
        <v>586</v>
      </c>
    </row>
    <row r="191" spans="3:9" x14ac:dyDescent="0.35">
      <c r="C191" t="s">
        <v>587</v>
      </c>
      <c r="E191" t="s">
        <v>113</v>
      </c>
      <c r="F191" t="s">
        <v>113</v>
      </c>
      <c r="G191" t="s">
        <v>588</v>
      </c>
      <c r="H191" t="s">
        <v>134</v>
      </c>
      <c r="I191" t="s">
        <v>589</v>
      </c>
    </row>
    <row r="192" spans="3:9" x14ac:dyDescent="0.35">
      <c r="C192" t="s">
        <v>256</v>
      </c>
      <c r="E192" t="s">
        <v>113</v>
      </c>
      <c r="F192" t="s">
        <v>113</v>
      </c>
      <c r="G192" t="s">
        <v>590</v>
      </c>
      <c r="H192" t="s">
        <v>134</v>
      </c>
      <c r="I192" t="s">
        <v>591</v>
      </c>
    </row>
    <row r="193" spans="3:9" x14ac:dyDescent="0.35">
      <c r="C193" t="s">
        <v>340</v>
      </c>
      <c r="E193" t="s">
        <v>113</v>
      </c>
      <c r="F193" t="s">
        <v>113</v>
      </c>
      <c r="G193" t="s">
        <v>585</v>
      </c>
      <c r="H193" t="s">
        <v>134</v>
      </c>
      <c r="I193" t="s">
        <v>586</v>
      </c>
    </row>
    <row r="194" spans="3:9" x14ac:dyDescent="0.35">
      <c r="C194" t="s">
        <v>150</v>
      </c>
      <c r="E194" t="s">
        <v>113</v>
      </c>
      <c r="F194" t="s">
        <v>113</v>
      </c>
      <c r="G194" t="s">
        <v>585</v>
      </c>
      <c r="H194" t="s">
        <v>134</v>
      </c>
      <c r="I194" t="s">
        <v>586</v>
      </c>
    </row>
    <row r="195" spans="3:9" x14ac:dyDescent="0.35">
      <c r="C195" t="s">
        <v>185</v>
      </c>
      <c r="E195" t="s">
        <v>113</v>
      </c>
      <c r="F195" t="s">
        <v>113</v>
      </c>
      <c r="G195" t="s">
        <v>592</v>
      </c>
      <c r="H195" t="s">
        <v>134</v>
      </c>
      <c r="I195" t="s">
        <v>593</v>
      </c>
    </row>
    <row r="196" spans="3:9" x14ac:dyDescent="0.35">
      <c r="C196" t="s">
        <v>249</v>
      </c>
      <c r="E196" t="s">
        <v>113</v>
      </c>
      <c r="F196" t="s">
        <v>113</v>
      </c>
      <c r="G196" t="s">
        <v>594</v>
      </c>
      <c r="H196" t="s">
        <v>134</v>
      </c>
      <c r="I196" t="s">
        <v>595</v>
      </c>
    </row>
    <row r="197" spans="3:9" x14ac:dyDescent="0.35">
      <c r="C197" t="s">
        <v>596</v>
      </c>
      <c r="E197" t="s">
        <v>113</v>
      </c>
      <c r="F197" t="s">
        <v>113</v>
      </c>
      <c r="G197" t="s">
        <v>597</v>
      </c>
      <c r="H197" t="s">
        <v>134</v>
      </c>
      <c r="I197" t="s">
        <v>598</v>
      </c>
    </row>
    <row r="198" spans="3:9" x14ac:dyDescent="0.35">
      <c r="C198" t="s">
        <v>599</v>
      </c>
      <c r="E198" t="s">
        <v>113</v>
      </c>
      <c r="F198" t="s">
        <v>113</v>
      </c>
      <c r="G198" t="s">
        <v>600</v>
      </c>
      <c r="H198" t="s">
        <v>134</v>
      </c>
      <c r="I198" t="s">
        <v>601</v>
      </c>
    </row>
    <row r="199" spans="3:9" x14ac:dyDescent="0.35">
      <c r="C199" t="s">
        <v>131</v>
      </c>
      <c r="E199" t="s">
        <v>114</v>
      </c>
      <c r="F199" t="s">
        <v>114</v>
      </c>
      <c r="G199" t="s">
        <v>602</v>
      </c>
      <c r="H199" t="s">
        <v>134</v>
      </c>
      <c r="I199" t="s">
        <v>603</v>
      </c>
    </row>
    <row r="200" spans="3:9" x14ac:dyDescent="0.35">
      <c r="C200" t="s">
        <v>220</v>
      </c>
      <c r="E200" t="s">
        <v>115</v>
      </c>
      <c r="F200" t="s">
        <v>604</v>
      </c>
      <c r="G200" t="s">
        <v>605</v>
      </c>
      <c r="H200" t="s">
        <v>134</v>
      </c>
      <c r="I200" t="s">
        <v>606</v>
      </c>
    </row>
    <row r="201" spans="3:9" x14ac:dyDescent="0.35">
      <c r="C201" t="s">
        <v>607</v>
      </c>
      <c r="E201" t="s">
        <v>115</v>
      </c>
      <c r="F201" t="s">
        <v>604</v>
      </c>
      <c r="G201" t="s">
        <v>608</v>
      </c>
      <c r="H201" t="s">
        <v>134</v>
      </c>
      <c r="I201" t="s">
        <v>609</v>
      </c>
    </row>
    <row r="202" spans="3:9" x14ac:dyDescent="0.35">
      <c r="C202" t="s">
        <v>610</v>
      </c>
      <c r="E202" t="s">
        <v>115</v>
      </c>
      <c r="F202" t="s">
        <v>604</v>
      </c>
      <c r="G202" t="s">
        <v>611</v>
      </c>
      <c r="H202" t="s">
        <v>134</v>
      </c>
      <c r="I202" t="s">
        <v>612</v>
      </c>
    </row>
    <row r="203" spans="3:9" x14ac:dyDescent="0.35">
      <c r="C203" t="s">
        <v>613</v>
      </c>
      <c r="E203" t="s">
        <v>115</v>
      </c>
      <c r="F203" t="s">
        <v>604</v>
      </c>
      <c r="G203" t="s">
        <v>614</v>
      </c>
      <c r="H203" t="s">
        <v>134</v>
      </c>
      <c r="I203" t="s">
        <v>615</v>
      </c>
    </row>
    <row r="204" spans="3:9" x14ac:dyDescent="0.35">
      <c r="C204" t="s">
        <v>225</v>
      </c>
      <c r="E204" t="s">
        <v>115</v>
      </c>
      <c r="F204" t="s">
        <v>604</v>
      </c>
      <c r="G204" t="s">
        <v>616</v>
      </c>
      <c r="H204" t="s">
        <v>134</v>
      </c>
      <c r="I204" t="s">
        <v>617</v>
      </c>
    </row>
    <row r="205" spans="3:9" x14ac:dyDescent="0.35">
      <c r="C205" t="s">
        <v>618</v>
      </c>
      <c r="E205" t="s">
        <v>115</v>
      </c>
      <c r="F205" t="s">
        <v>604</v>
      </c>
      <c r="G205" t="s">
        <v>619</v>
      </c>
      <c r="H205" t="s">
        <v>134</v>
      </c>
      <c r="I205" t="s">
        <v>620</v>
      </c>
    </row>
    <row r="206" spans="3:9" x14ac:dyDescent="0.35">
      <c r="C206" t="s">
        <v>621</v>
      </c>
      <c r="E206" t="s">
        <v>115</v>
      </c>
      <c r="F206" t="s">
        <v>604</v>
      </c>
      <c r="G206" t="s">
        <v>622</v>
      </c>
      <c r="H206" t="s">
        <v>134</v>
      </c>
      <c r="I206" t="s">
        <v>623</v>
      </c>
    </row>
    <row r="207" spans="3:9" x14ac:dyDescent="0.35">
      <c r="C207" t="s">
        <v>624</v>
      </c>
      <c r="E207" t="s">
        <v>115</v>
      </c>
      <c r="F207" t="s">
        <v>604</v>
      </c>
      <c r="G207" t="s">
        <v>625</v>
      </c>
      <c r="H207" t="s">
        <v>134</v>
      </c>
      <c r="I207" t="s">
        <v>626</v>
      </c>
    </row>
    <row r="208" spans="3:9" x14ac:dyDescent="0.35">
      <c r="C208" t="s">
        <v>365</v>
      </c>
      <c r="E208" t="s">
        <v>115</v>
      </c>
      <c r="F208" t="s">
        <v>604</v>
      </c>
      <c r="G208" t="s">
        <v>627</v>
      </c>
      <c r="H208" t="s">
        <v>134</v>
      </c>
      <c r="I208" t="s">
        <v>628</v>
      </c>
    </row>
    <row r="209" spans="3:9" x14ac:dyDescent="0.35">
      <c r="C209" t="s">
        <v>629</v>
      </c>
      <c r="E209" t="s">
        <v>115</v>
      </c>
      <c r="F209" t="s">
        <v>604</v>
      </c>
      <c r="G209" t="s">
        <v>630</v>
      </c>
      <c r="H209" t="s">
        <v>134</v>
      </c>
      <c r="I209" t="s">
        <v>631</v>
      </c>
    </row>
    <row r="210" spans="3:9" x14ac:dyDescent="0.35">
      <c r="C210" t="s">
        <v>208</v>
      </c>
      <c r="E210" t="s">
        <v>115</v>
      </c>
      <c r="F210" t="s">
        <v>604</v>
      </c>
      <c r="G210" t="s">
        <v>632</v>
      </c>
      <c r="H210" t="s">
        <v>134</v>
      </c>
      <c r="I210" t="s">
        <v>633</v>
      </c>
    </row>
    <row r="211" spans="3:9" x14ac:dyDescent="0.35">
      <c r="C211" t="s">
        <v>634</v>
      </c>
      <c r="E211" t="s">
        <v>115</v>
      </c>
      <c r="F211" t="s">
        <v>604</v>
      </c>
      <c r="G211" t="s">
        <v>627</v>
      </c>
      <c r="H211" t="s">
        <v>134</v>
      </c>
      <c r="I211" t="s">
        <v>628</v>
      </c>
    </row>
    <row r="212" spans="3:9" x14ac:dyDescent="0.35">
      <c r="C212" t="s">
        <v>440</v>
      </c>
      <c r="E212" t="s">
        <v>115</v>
      </c>
      <c r="F212" t="s">
        <v>604</v>
      </c>
      <c r="G212" t="s">
        <v>632</v>
      </c>
      <c r="H212" t="s">
        <v>134</v>
      </c>
      <c r="I212" t="s">
        <v>633</v>
      </c>
    </row>
    <row r="213" spans="3:9" x14ac:dyDescent="0.35">
      <c r="C213" t="s">
        <v>635</v>
      </c>
      <c r="E213" t="s">
        <v>115</v>
      </c>
      <c r="F213" t="s">
        <v>604</v>
      </c>
      <c r="G213" t="s">
        <v>636</v>
      </c>
      <c r="H213" t="s">
        <v>134</v>
      </c>
      <c r="I213" t="s">
        <v>637</v>
      </c>
    </row>
    <row r="214" spans="3:9" x14ac:dyDescent="0.35">
      <c r="C214" t="s">
        <v>192</v>
      </c>
      <c r="E214" t="s">
        <v>115</v>
      </c>
      <c r="F214" t="s">
        <v>604</v>
      </c>
      <c r="G214" t="s">
        <v>638</v>
      </c>
      <c r="H214" t="s">
        <v>134</v>
      </c>
      <c r="I214" t="s">
        <v>639</v>
      </c>
    </row>
    <row r="215" spans="3:9" x14ac:dyDescent="0.35">
      <c r="C215" t="s">
        <v>640</v>
      </c>
      <c r="E215" t="s">
        <v>116</v>
      </c>
      <c r="F215" t="s">
        <v>604</v>
      </c>
      <c r="G215" t="s">
        <v>614</v>
      </c>
      <c r="H215" t="s">
        <v>134</v>
      </c>
      <c r="I215" t="s">
        <v>615</v>
      </c>
    </row>
    <row r="216" spans="3:9" x14ac:dyDescent="0.35">
      <c r="C216" t="s">
        <v>641</v>
      </c>
      <c r="E216" t="s">
        <v>117</v>
      </c>
      <c r="F216" t="s">
        <v>604</v>
      </c>
      <c r="G216" t="s">
        <v>622</v>
      </c>
      <c r="H216" t="s">
        <v>134</v>
      </c>
      <c r="I216" t="s">
        <v>623</v>
      </c>
    </row>
    <row r="217" spans="3:9" x14ac:dyDescent="0.35">
      <c r="C217" t="s">
        <v>253</v>
      </c>
      <c r="E217" t="s">
        <v>118</v>
      </c>
      <c r="F217" t="s">
        <v>118</v>
      </c>
      <c r="G217" t="s">
        <v>642</v>
      </c>
      <c r="H217" t="s">
        <v>134</v>
      </c>
      <c r="I217" t="s">
        <v>643</v>
      </c>
    </row>
    <row r="218" spans="3:9" x14ac:dyDescent="0.35">
      <c r="C218" t="s">
        <v>321</v>
      </c>
      <c r="E218" t="s">
        <v>119</v>
      </c>
      <c r="F218" t="s">
        <v>119</v>
      </c>
      <c r="G218" t="s">
        <v>644</v>
      </c>
      <c r="H218" t="s">
        <v>134</v>
      </c>
      <c r="I218" t="s">
        <v>645</v>
      </c>
    </row>
    <row r="219" spans="3:9" x14ac:dyDescent="0.35">
      <c r="C219" t="s">
        <v>410</v>
      </c>
      <c r="E219" t="s">
        <v>120</v>
      </c>
      <c r="F219" t="s">
        <v>120</v>
      </c>
      <c r="G219" t="s">
        <v>646</v>
      </c>
      <c r="H219" t="s">
        <v>134</v>
      </c>
      <c r="I219" t="s">
        <v>647</v>
      </c>
    </row>
    <row r="220" spans="3:9" x14ac:dyDescent="0.35">
      <c r="C220" t="s">
        <v>648</v>
      </c>
      <c r="E220" t="s">
        <v>121</v>
      </c>
      <c r="F220" t="s">
        <v>121</v>
      </c>
      <c r="G220" t="s">
        <v>649</v>
      </c>
      <c r="H220" t="s">
        <v>134</v>
      </c>
      <c r="I220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2026-01-07T22:00:21Z</dcterms:created>
  <dcterms:modified xsi:type="dcterms:W3CDTF">2026-01-14T04:21:46Z</dcterms:modified>
</cp:coreProperties>
</file>