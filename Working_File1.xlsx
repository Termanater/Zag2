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6755" windowWidth="29040" windowHeight="15720" tabRatio="600" firstSheet="0" activeTab="0" autoFilterDateGrouping="1"/>
  </bookViews>
  <sheets>
    <sheet name="Sheet1" sheetId="1" state="visible" r:id="rId1"/>
    <sheet name="Cleaned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1" fillId="0" borderId="0"/>
  </cellStyleXfs>
  <cellXfs count="5">
    <xf numFmtId="0" fontId="0" fillId="0" borderId="0" pivotButton="0" quotePrefix="0" xfId="0"/>
    <xf numFmtId="14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 vertical="top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85"/>
  <sheetViews>
    <sheetView tabSelected="1" topLeftCell="A4" workbookViewId="0">
      <selection activeCell="D20" sqref="D20"/>
    </sheetView>
  </sheetViews>
  <sheetFormatPr baseColWidth="8" defaultRowHeight="14.5"/>
  <cols>
    <col width="9.08984375" bestFit="1" customWidth="1" min="1" max="1"/>
    <col width="11.26953125" bestFit="1" customWidth="1" min="2" max="2"/>
    <col width="11.26953125" customWidth="1" min="3" max="3"/>
    <col width="182.81640625" bestFit="1" customWidth="1" min="4" max="4"/>
    <col width="7.453125" bestFit="1" customWidth="1" min="5" max="5"/>
    <col width="15" bestFit="1" customWidth="1" style="3" min="6" max="7"/>
  </cols>
  <sheetData>
    <row r="2">
      <c r="E2" t="inlineStr">
        <is>
          <t>diff</t>
        </is>
      </c>
      <c r="F2" s="3">
        <f>F4-F3</f>
        <v/>
      </c>
      <c r="G2" s="3">
        <f>G4-G3</f>
        <v/>
      </c>
    </row>
    <row r="3">
      <c r="E3" t="inlineStr">
        <is>
          <t>stmt</t>
        </is>
      </c>
      <c r="F3" s="3">
        <f>518062.23+447504.11+495879.78</f>
        <v/>
      </c>
      <c r="G3" s="3">
        <f>405944.77+470878.03+495068.54</f>
        <v/>
      </c>
    </row>
    <row r="4">
      <c r="E4" t="inlineStr">
        <is>
          <t>total</t>
        </is>
      </c>
      <c r="F4" s="3">
        <f>SUM(F7:F186)</f>
        <v/>
      </c>
      <c r="G4" s="3">
        <f>SUM(G7:G186)</f>
        <v/>
      </c>
    </row>
    <row r="6">
      <c r="B6" t="inlineStr">
        <is>
          <t>date</t>
        </is>
      </c>
      <c r="D6" t="inlineStr">
        <is>
          <t>description</t>
        </is>
      </c>
      <c r="F6" s="3" t="inlineStr">
        <is>
          <t>amount</t>
        </is>
      </c>
    </row>
    <row r="7">
      <c r="B7" s="1" t="n">
        <v>45959</v>
      </c>
      <c r="C7" s="1" t="n"/>
      <c r="D7" t="inlineStr">
        <is>
          <t>Deposit ACH PNC BANK TYPE: ACCTVERIFY CO: PNC BANK Entry Class Code: PPD</t>
        </is>
      </c>
      <c r="F7" s="3" t="n">
        <v>0.21</v>
      </c>
      <c r="G7" s="3" t="n">
        <v>0</v>
      </c>
    </row>
    <row r="8">
      <c r="B8" s="1" t="n">
        <v>45959</v>
      </c>
      <c r="C8" s="1" t="n"/>
      <c r="D8" t="inlineStr">
        <is>
          <t>Deposit ACH PNC BANK TYPE: ACCTVERIFY CO: PNC BANK Entry Class Code: PPD</t>
        </is>
      </c>
      <c r="F8" s="3" t="n">
        <v>0.27</v>
      </c>
      <c r="G8" s="3" t="n">
        <v>0</v>
      </c>
    </row>
    <row r="9">
      <c r="B9" s="1" t="n">
        <v>45975</v>
      </c>
      <c r="C9" s="1" t="n"/>
      <c r="D9" t="inlineStr">
        <is>
          <t>Withdrawal Adjustment 1114251724900701</t>
        </is>
      </c>
      <c r="F9" s="3" t="n">
        <v>25</v>
      </c>
      <c r="G9" s="3" t="n">
        <v>0</v>
      </c>
    </row>
    <row r="10">
      <c r="B10" s="1" t="n">
        <v>45961</v>
      </c>
      <c r="C10" s="1" t="n"/>
      <c r="D10" t="inlineStr">
        <is>
          <t>Deposit Dividend 0.900% Annual Percentage Yield Earned 0.900% for period 10/01/25 to 10/31/25</t>
        </is>
      </c>
      <c r="F10" s="3" t="n">
        <v>207.03</v>
      </c>
      <c r="G10" s="3" t="n">
        <v>0</v>
      </c>
    </row>
    <row r="11">
      <c r="B11" s="1" t="n">
        <v>45991</v>
      </c>
      <c r="C11" s="1" t="n"/>
      <c r="D11" t="inlineStr">
        <is>
          <t>Deposit Dividend 0.900% Annual Percentage Yield Earned 0.900% for period 11/01/25 to 11/30/25</t>
        </is>
      </c>
      <c r="F11" s="3" t="n">
        <v>219.02</v>
      </c>
      <c r="G11" s="3" t="n">
        <v>0</v>
      </c>
    </row>
    <row r="12">
      <c r="B12" s="1" t="n">
        <v>46021</v>
      </c>
      <c r="C12" s="1" t="n"/>
      <c r="D12" t="inlineStr">
        <is>
          <t>Deposit ACH IEHP CLAIMS2 TYPE: CLAIMS CO: IEHP CLAIMS2 Entry Class Code: CCD</t>
        </is>
      </c>
      <c r="F12" s="3" t="n">
        <v>248.22</v>
      </c>
      <c r="G12" s="3" t="n">
        <v>0</v>
      </c>
    </row>
    <row r="13">
      <c r="B13" s="1" t="n">
        <v>46022</v>
      </c>
      <c r="C13" s="1" t="n"/>
      <c r="D13" t="inlineStr">
        <is>
          <t>Deposit Dividend 0.900% Annual Percentage Yield Earned 0.900% for period 12/01/25 to 12/31/25</t>
        </is>
      </c>
      <c r="F13" s="3" t="n">
        <v>254.57</v>
      </c>
      <c r="G13" s="3" t="n">
        <v>0</v>
      </c>
    </row>
    <row r="14">
      <c r="B14" s="1" t="n">
        <v>45944</v>
      </c>
      <c r="C14" s="1" t="n"/>
      <c r="D14" t="inlineStr">
        <is>
          <t>Deposit ACH CHASE CREDIT CRD TYPE: RWRD RDM CO: CHASE CREDIT CRD Entry Class Code: PPD</t>
        </is>
      </c>
      <c r="F14" s="3" t="n">
        <v>782.13</v>
      </c>
      <c r="G14" s="3" t="n">
        <v>0</v>
      </c>
    </row>
    <row r="15">
      <c r="B15" s="1" t="n">
        <v>46008</v>
      </c>
      <c r="C15" s="1" t="n"/>
      <c r="D15" t="inlineStr">
        <is>
          <t>Deposit ACH IEHP CLAIMS2 TYPE: CLAIMS CO: IEHP CLAIMS2 Entry Class Code: CCD</t>
        </is>
      </c>
      <c r="F15" s="3" t="n">
        <v>908.6900000000001</v>
      </c>
      <c r="G15" s="3" t="n">
        <v>0</v>
      </c>
    </row>
    <row r="16">
      <c r="B16" s="1" t="n">
        <v>45975</v>
      </c>
      <c r="C16" s="1" t="n"/>
      <c r="D16" t="inlineStr">
        <is>
          <t>Deposit by Check</t>
        </is>
      </c>
      <c r="F16" s="3" t="n">
        <v>1544.58</v>
      </c>
      <c r="G16" s="3" t="n">
        <v>0</v>
      </c>
    </row>
    <row r="17">
      <c r="B17" s="1" t="n">
        <v>45937</v>
      </c>
      <c r="C17" s="1" t="n"/>
      <c r="D17" t="inlineStr">
        <is>
          <t>Deposit ACH IEHP CLAIMS2 TYPE: CLAIMS CO: IEHP CLAIMS2 Entry Class Code: CCD</t>
        </is>
      </c>
      <c r="F17" s="3" t="n">
        <v>2649.72</v>
      </c>
      <c r="G17" s="3" t="n">
        <v>0</v>
      </c>
    </row>
    <row r="18">
      <c r="B18" s="1" t="n">
        <v>45995</v>
      </c>
      <c r="C18" s="1" t="n"/>
      <c r="D18" t="inlineStr">
        <is>
          <t>Deposit ACH IEHP CLAIMS2 TYPE: CLAIMS CO: IEHP CLAIMS2 Entry Class Code: CCD</t>
        </is>
      </c>
      <c r="F18" s="3" t="n">
        <v>3283.22</v>
      </c>
      <c r="G18" s="3" t="n">
        <v>0</v>
      </c>
    </row>
    <row r="19">
      <c r="B19" s="1" t="n">
        <v>45945</v>
      </c>
      <c r="C19" s="1" t="n"/>
      <c r="D19" t="inlineStr">
        <is>
          <t>Deposit ACH IEHP CLAIMS2 TYPE: CLAIMS CO: IEHP CLAIMS2 Entry Class Code: CCD</t>
        </is>
      </c>
      <c r="F19" s="3" t="n">
        <v>4249.72</v>
      </c>
      <c r="G19" s="3" t="n">
        <v>0</v>
      </c>
    </row>
    <row r="20">
      <c r="B20" s="1" t="n">
        <v>45953</v>
      </c>
      <c r="C20" s="1" t="n"/>
      <c r="D20" t="inlineStr">
        <is>
          <t>Deposit ACH IEHP CLAIMS2 TYPE: CLAIMS CO: IEHP CLAIMS2 Entry Class Code: CCD</t>
        </is>
      </c>
      <c r="F20" s="3" t="n">
        <v>7245.87</v>
      </c>
      <c r="G20" s="3" t="n">
        <v>0</v>
      </c>
    </row>
    <row r="21">
      <c r="B21" s="1" t="n">
        <v>45987</v>
      </c>
      <c r="C21" s="1" t="n"/>
      <c r="D21" t="inlineStr">
        <is>
          <t>Deposit ACH IEHP CLAIMS2 TYPE: CLAIMS CO: IEHP CLAIMS2 Entry Class Code: CCD</t>
        </is>
      </c>
      <c r="F21" s="3" t="n">
        <v>8119.73</v>
      </c>
      <c r="G21" s="3" t="n">
        <v>0</v>
      </c>
    </row>
    <row r="22">
      <c r="B22" s="1" t="n">
        <v>45931</v>
      </c>
      <c r="C22" s="1" t="n"/>
      <c r="D22" t="inlineStr">
        <is>
          <t>Deposit ACH IEHP CLAIMS2 TYPE: CLAIMS CO: IEHP CLAIMS2 Entry Class Code: CCD</t>
        </is>
      </c>
      <c r="F22" s="3" t="n">
        <v>14505.15</v>
      </c>
      <c r="G22" s="3" t="n">
        <v>0</v>
      </c>
    </row>
    <row r="23">
      <c r="B23" s="1" t="n">
        <v>45975</v>
      </c>
      <c r="C23" s="1" t="n"/>
      <c r="D23" t="inlineStr">
        <is>
          <t>Deposit ACH IEHP CLAIMS2 TYPE: CLAIMS CO: IEHP CLAIMS2 Entry Class Code: CCD</t>
        </is>
      </c>
      <c r="F23" s="3" t="n">
        <v>44206.4</v>
      </c>
      <c r="G23" s="3" t="n">
        <v>0</v>
      </c>
    </row>
    <row r="24">
      <c r="B24" s="1" t="n">
        <v>45959</v>
      </c>
      <c r="C24" s="1" t="n"/>
      <c r="D24" t="inlineStr">
        <is>
          <t>Deposit ACH IEHP CLAIMS2 TYPE: CLAIMS CO: IEHP CLAIMS2</t>
        </is>
      </c>
      <c r="F24" s="3" t="n">
        <v>50797.12</v>
      </c>
      <c r="G24" s="3" t="n">
        <v>0</v>
      </c>
    </row>
    <row r="25">
      <c r="B25" s="1" t="n">
        <v>45961</v>
      </c>
      <c r="C25" s="1" t="n"/>
      <c r="D25" t="inlineStr">
        <is>
          <t>Deposit ACH IEHP CLAIMS2 TYPE: CLAIMS CO: IEHP CLAIMS2 Entry Class Code: CCD</t>
        </is>
      </c>
      <c r="F25" s="3" t="n">
        <v>64426.47</v>
      </c>
      <c r="G25" s="3" t="n">
        <v>0</v>
      </c>
    </row>
    <row r="26">
      <c r="B26" s="1" t="n">
        <v>46002</v>
      </c>
      <c r="C26" s="1" t="n"/>
      <c r="D26" t="inlineStr">
        <is>
          <t>Deposit ACH IEHP CLAIMS2 TYPE: CLAIMS CO: IEHP CLAIMS2 Entry Class Code: CCD</t>
        </is>
      </c>
      <c r="F26" s="3" t="n">
        <v>67076.81</v>
      </c>
      <c r="G26" s="3" t="n">
        <v>0</v>
      </c>
    </row>
    <row r="27">
      <c r="B27" s="1" t="n">
        <v>45965</v>
      </c>
      <c r="C27" s="1" t="n"/>
      <c r="D27" t="inlineStr">
        <is>
          <t>Deposit ACH IEHP CLAIMS2 TYPE: CLAIMS CO: IEHP CLAIMS2 Entry Class Code: CCD</t>
        </is>
      </c>
      <c r="F27" s="3" t="n">
        <v>71049.07000000001</v>
      </c>
      <c r="G27" s="3" t="n">
        <v>0</v>
      </c>
    </row>
    <row r="28">
      <c r="B28" s="1" t="n">
        <v>46001</v>
      </c>
      <c r="C28" s="1" t="n"/>
      <c r="D28" t="inlineStr">
        <is>
          <t>Deposit ACH IEHP CLAIMS2 TYPE: CLAIMS CO: IEHP CLAIMS2 Entry Class Code: CCD</t>
        </is>
      </c>
      <c r="F28" s="3" t="n">
        <v>81868.63</v>
      </c>
      <c r="G28" s="3" t="n">
        <v>0</v>
      </c>
    </row>
    <row r="29">
      <c r="B29" s="1" t="n">
        <v>46015</v>
      </c>
      <c r="C29" s="1" t="n"/>
      <c r="D29" t="inlineStr">
        <is>
          <t>Deposit ACH IEHP CLAIMS2 TYPE: CLAIMS CO: IEHP CLAIMS2 Entry Class Code: CCD</t>
        </is>
      </c>
      <c r="F29" s="3" t="n">
        <v>84157.13</v>
      </c>
      <c r="G29" s="3" t="n">
        <v>0</v>
      </c>
    </row>
    <row r="30">
      <c r="B30" s="1" t="n">
        <v>45947</v>
      </c>
      <c r="C30" s="1" t="n"/>
      <c r="D30" t="inlineStr">
        <is>
          <t>Deposit ACH IEHP CLAIMS2 TYPE: CLAIMS CO: IEHP CLAIMS2 Entry Class Code: CCD</t>
        </is>
      </c>
      <c r="F30" s="3" t="n">
        <v>88971.28</v>
      </c>
      <c r="G30" s="3" t="n">
        <v>0</v>
      </c>
    </row>
    <row r="31">
      <c r="B31" s="1" t="n">
        <v>45940</v>
      </c>
      <c r="C31" s="1" t="n"/>
      <c r="D31" t="inlineStr">
        <is>
          <t>Deposit ACH IEHP CLAIMS2 TYPE: CLAIMS CO: IEHP CLAIMS2 Entry Class Code: CCD</t>
        </is>
      </c>
      <c r="F31" s="3" t="n">
        <v>89312.92</v>
      </c>
      <c r="G31" s="3" t="n">
        <v>0</v>
      </c>
    </row>
    <row r="32">
      <c r="B32" s="1" t="n">
        <v>45952</v>
      </c>
      <c r="C32" s="1" t="n"/>
      <c r="D32" t="inlineStr">
        <is>
          <t>Deposit ACH IEHP CLAIMS2 TYPE: CLAIMS CO: IEHP CLAIMS2 Entry Class Code: CCD</t>
        </is>
      </c>
      <c r="F32" s="3" t="n">
        <v>92820.75</v>
      </c>
      <c r="G32" s="3" t="n">
        <v>0</v>
      </c>
    </row>
    <row r="33">
      <c r="B33" s="1" t="n">
        <v>45980</v>
      </c>
      <c r="C33" s="1" t="n"/>
      <c r="D33" t="inlineStr">
        <is>
          <t>Deposit ACH IEHP CLAIMS2 TYPE: CLAIMS CO: IEHP CLAIMS2 Entry Class Code: CCD</t>
        </is>
      </c>
      <c r="F33" s="3" t="n">
        <v>100143.86</v>
      </c>
      <c r="G33" s="3" t="n">
        <v>0</v>
      </c>
    </row>
    <row r="34">
      <c r="B34" s="1" t="n">
        <v>45932</v>
      </c>
      <c r="C34" s="1" t="n"/>
      <c r="D34" t="inlineStr">
        <is>
          <t>Deposit ACH IEHP CLAIMS2 TYPE: CLAIMS CO: IEHP CLAIMS2 Entry Class Code: CCD</t>
        </is>
      </c>
      <c r="F34" s="3" t="n">
        <v>102093.59</v>
      </c>
      <c r="G34" s="3" t="n">
        <v>0</v>
      </c>
    </row>
    <row r="35">
      <c r="B35" s="1" t="n">
        <v>45967</v>
      </c>
      <c r="C35" s="1" t="n"/>
      <c r="D35" t="inlineStr">
        <is>
          <t>Deposit ACH IEHP CLAIMS2 TYPE: CLAIMS CO: IEHP CLAIMS2 Entry Class Code: CCD</t>
        </is>
      </c>
      <c r="F35" s="3" t="n">
        <v>104561.08</v>
      </c>
      <c r="G35" s="3" t="n">
        <v>0</v>
      </c>
    </row>
    <row r="36">
      <c r="B36" s="1" t="n">
        <v>45981</v>
      </c>
      <c r="C36" s="1" t="n"/>
      <c r="D36" t="inlineStr">
        <is>
          <t>Deposit ACH IEHP CLAIMS2 TYPE: CLAIMS CO: IEHP CLAIMS2 Entry Class Code: CCD</t>
        </is>
      </c>
      <c r="F36" s="3" t="n">
        <v>117635.37</v>
      </c>
      <c r="G36" s="3" t="n">
        <v>0</v>
      </c>
    </row>
    <row r="37">
      <c r="B37" s="1" t="n">
        <v>46010</v>
      </c>
      <c r="C37" s="1" t="n"/>
      <c r="D37" t="inlineStr">
        <is>
          <t>Deposit ACH IEHP CLAIMS2 TYPE: CLAIMS CO: IEHP CLAIMS2 Entry Class Code: CCD</t>
        </is>
      </c>
      <c r="F37" s="3" t="n">
        <v>120067.76</v>
      </c>
      <c r="G37" s="3" t="n">
        <v>0</v>
      </c>
    </row>
    <row r="38">
      <c r="B38" s="1" t="n">
        <v>45994</v>
      </c>
      <c r="C38" s="1" t="n"/>
      <c r="D38" t="inlineStr">
        <is>
          <t>Deposit ACH IEHP CLAIMS2 TYPE: CLAIMS CO: IEHP CLAIMS2 Entry Class Code: CCD</t>
        </is>
      </c>
      <c r="F38" s="3" t="n">
        <v>138014.75</v>
      </c>
      <c r="G38" s="3" t="n">
        <v>0</v>
      </c>
    </row>
    <row r="39">
      <c r="B39" s="1" t="n"/>
      <c r="C39" s="1" t="n"/>
    </row>
    <row r="40">
      <c r="B40" s="1" t="n">
        <v>45940</v>
      </c>
      <c r="C40" s="1" t="n"/>
      <c r="D40" t="inlineStr">
        <is>
          <t>Missing Description</t>
        </is>
      </c>
      <c r="E40" t="n">
        <v>166</v>
      </c>
      <c r="F40" s="3" t="n">
        <v>0</v>
      </c>
      <c r="G40" s="3" t="n">
        <v>37000</v>
      </c>
    </row>
    <row r="41">
      <c r="B41" s="1" t="n">
        <v>45944</v>
      </c>
      <c r="C41" s="1" t="n"/>
      <c r="D41" t="inlineStr">
        <is>
          <t>Missing Description</t>
        </is>
      </c>
      <c r="E41" t="n">
        <v>181</v>
      </c>
      <c r="F41" s="3" t="n">
        <v>0</v>
      </c>
      <c r="G41" s="3" t="n">
        <v>1812</v>
      </c>
    </row>
    <row r="42">
      <c r="B42" s="1" t="n">
        <v>45978</v>
      </c>
      <c r="C42" s="1" t="n"/>
      <c r="D42" t="inlineStr">
        <is>
          <t>Missing Description</t>
        </is>
      </c>
      <c r="E42" t="n">
        <v>182</v>
      </c>
      <c r="F42" s="3" t="n">
        <v>0</v>
      </c>
      <c r="G42" s="3" t="n">
        <v>801.58</v>
      </c>
    </row>
    <row r="43">
      <c r="B43" s="1" t="n">
        <v>45958</v>
      </c>
      <c r="C43" s="1" t="n"/>
      <c r="D43" t="inlineStr">
        <is>
          <t>Missing Description</t>
        </is>
      </c>
      <c r="E43" t="n">
        <v>183</v>
      </c>
      <c r="F43" s="3" t="n">
        <v>0</v>
      </c>
      <c r="G43" s="3" t="n">
        <v>57500</v>
      </c>
    </row>
    <row r="44">
      <c r="B44" s="1" t="n">
        <v>45957</v>
      </c>
      <c r="C44" s="1" t="n"/>
      <c r="D44" t="inlineStr">
        <is>
          <t>Missing Description</t>
        </is>
      </c>
      <c r="E44" t="n">
        <v>184</v>
      </c>
      <c r="F44" s="3" t="n">
        <v>0</v>
      </c>
      <c r="G44" s="3" t="n">
        <v>3990</v>
      </c>
    </row>
    <row r="45">
      <c r="B45" s="1" t="n">
        <v>45987</v>
      </c>
      <c r="C45" s="1" t="n"/>
      <c r="D45" t="inlineStr">
        <is>
          <t>Missing Description</t>
        </is>
      </c>
      <c r="E45" t="n">
        <v>188</v>
      </c>
      <c r="F45" s="3" t="n">
        <v>0</v>
      </c>
      <c r="G45" s="3" t="n">
        <v>75000</v>
      </c>
    </row>
    <row r="46">
      <c r="B46" s="1" t="n">
        <v>45999</v>
      </c>
      <c r="C46" s="1" t="n"/>
      <c r="D46" t="inlineStr">
        <is>
          <t>Missing Description</t>
        </is>
      </c>
      <c r="E46" t="n">
        <v>189</v>
      </c>
      <c r="F46" s="3" t="n">
        <v>0</v>
      </c>
      <c r="G46" s="3" t="n">
        <v>9358.77</v>
      </c>
    </row>
    <row r="47">
      <c r="B47" s="1" t="n">
        <v>45989</v>
      </c>
      <c r="C47" s="1" t="n"/>
      <c r="D47" t="inlineStr">
        <is>
          <t>Missing Description</t>
        </is>
      </c>
      <c r="E47" t="n">
        <v>190</v>
      </c>
      <c r="F47" s="3" t="n">
        <v>0</v>
      </c>
      <c r="G47" s="3" t="n">
        <v>3460</v>
      </c>
    </row>
    <row r="48">
      <c r="B48" s="1" t="n">
        <v>46022</v>
      </c>
      <c r="C48" s="1" t="n"/>
      <c r="D48" t="inlineStr">
        <is>
          <t>Missing Description</t>
        </is>
      </c>
      <c r="E48" t="n">
        <v>192</v>
      </c>
      <c r="F48" s="3" t="n">
        <v>0</v>
      </c>
      <c r="G48" s="3" t="n">
        <v>953</v>
      </c>
    </row>
    <row r="49">
      <c r="B49" s="1" t="n">
        <v>45946</v>
      </c>
      <c r="C49" s="1" t="n"/>
      <c r="D49" t="inlineStr">
        <is>
          <t>Missing Description</t>
        </is>
      </c>
      <c r="E49" t="n">
        <v>74</v>
      </c>
      <c r="F49" s="3" t="n">
        <v>0</v>
      </c>
      <c r="G49" s="3" t="n">
        <v>519.1900000000001</v>
      </c>
    </row>
    <row r="50">
      <c r="B50" s="1" t="n">
        <v>45957</v>
      </c>
      <c r="C50" s="1" t="n"/>
      <c r="D50" t="inlineStr">
        <is>
          <t>Missing Description</t>
        </is>
      </c>
      <c r="E50" t="n">
        <v>76</v>
      </c>
      <c r="F50" s="3" t="n">
        <v>0</v>
      </c>
      <c r="G50" s="3" t="n">
        <v>974.46</v>
      </c>
    </row>
    <row r="51">
      <c r="B51" s="1" t="n">
        <v>45982</v>
      </c>
      <c r="C51" s="1" t="n"/>
      <c r="D51" t="inlineStr">
        <is>
          <t>Missing Description</t>
        </is>
      </c>
      <c r="E51" t="n">
        <v>99999</v>
      </c>
      <c r="F51" s="3" t="n">
        <v>0</v>
      </c>
      <c r="G51" s="3" t="n">
        <v>743.91</v>
      </c>
    </row>
    <row r="52">
      <c r="B52" s="1" t="n"/>
      <c r="C52" s="1" t="n"/>
      <c r="G52" s="3" t="n">
        <v>0</v>
      </c>
    </row>
    <row r="53">
      <c r="B53" s="1" t="n">
        <v>45993</v>
      </c>
      <c r="C53" s="1" t="n"/>
      <c r="D53" t="inlineStr">
        <is>
          <t>ACURA PMT</t>
        </is>
      </c>
      <c r="F53" s="3" t="n">
        <v>0</v>
      </c>
      <c r="G53" s="3" t="n">
        <v>637.38</v>
      </c>
    </row>
    <row r="54">
      <c r="B54" s="1" t="n">
        <v>45931</v>
      </c>
      <c r="C54" s="1" t="n"/>
      <c r="D54" t="inlineStr">
        <is>
          <t>ACURA PMT TYPE: 8669502439.00 CO: ACURA PMT Entry Class Code: PPD</t>
        </is>
      </c>
      <c r="F54" s="3" t="n">
        <v>0</v>
      </c>
      <c r="G54" s="3" t="n">
        <v>637.38</v>
      </c>
    </row>
    <row r="55">
      <c r="B55" s="1" t="n">
        <v>45961</v>
      </c>
      <c r="C55" s="1" t="n"/>
      <c r="D55" t="inlineStr">
        <is>
          <t>ACURA PMT TYPE: 8669502439.00 CO: ACURA PMT Entry Class Code: PPD</t>
        </is>
      </c>
      <c r="F55" s="3" t="n">
        <v>0</v>
      </c>
      <c r="G55" s="3" t="n">
        <v>637.38</v>
      </c>
    </row>
    <row r="56">
      <c r="B56" s="1" t="n">
        <v>46022</v>
      </c>
      <c r="C56" s="1" t="n"/>
      <c r="D56" t="inlineStr">
        <is>
          <t>ACURA PMT TYPE: 8669502439.00 CO: ACURA PMT Entry Class Code: PPD</t>
        </is>
      </c>
      <c r="F56" s="3" t="n">
        <v>0</v>
      </c>
      <c r="G56" s="3" t="n">
        <v>637.38</v>
      </c>
    </row>
    <row r="57">
      <c r="B57" s="1" t="n">
        <v>46008</v>
      </c>
      <c r="C57" s="1" t="n"/>
      <c r="D57" t="inlineStr">
        <is>
          <t>ADT SECURITY*40 1501 YAMATO RD BOCA RATON</t>
        </is>
      </c>
      <c r="F57" s="3" t="n">
        <v>0</v>
      </c>
      <c r="G57" s="3" t="n">
        <v>46.64</v>
      </c>
    </row>
    <row r="58">
      <c r="B58" s="1" t="n">
        <v>45948</v>
      </c>
      <c r="C58" s="1" t="n"/>
      <c r="D58" t="inlineStr">
        <is>
          <t>ADT SECURITY*40 1501 YAMATO RD BOCA RATON FL Date 10/17/25 5.00 204984616 0 4814.00</t>
        </is>
      </c>
      <c r="F58" s="3" t="n">
        <v>0</v>
      </c>
      <c r="G58" s="3" t="n">
        <v>55.43</v>
      </c>
    </row>
    <row r="59">
      <c r="B59" s="1" t="n">
        <v>45978</v>
      </c>
      <c r="C59" s="1" t="n"/>
      <c r="D59" t="inlineStr">
        <is>
          <t>ADT SECURITY*40 1501 YAMATO RD BOCA RATON FL Date 11/16/25 8 205306664 8 4814</t>
        </is>
      </c>
      <c r="F59" s="3" t="n">
        <v>0</v>
      </c>
      <c r="G59" s="3" t="n">
        <v>46.64</v>
      </c>
    </row>
    <row r="60">
      <c r="B60" s="1" t="n">
        <v>45979</v>
      </c>
      <c r="C60" s="1" t="n"/>
      <c r="D60" t="inlineStr">
        <is>
          <t>ADT SECURITY*40 1501 YAMATO RD BOCA RATON FL Date 11/17/25 2 205766635 0 4814</t>
        </is>
      </c>
      <c r="F60" s="3" t="n">
        <v>0</v>
      </c>
      <c r="G60" s="3" t="n">
        <v>55.43</v>
      </c>
    </row>
    <row r="61">
      <c r="B61" s="1" t="n">
        <v>46009</v>
      </c>
      <c r="C61" s="1" t="n"/>
      <c r="D61" t="inlineStr">
        <is>
          <t>ADT SECURITY*40 1501 YAMATO RD BOCA RATON FL Date 12/17/25 5.00 207073444 8 4814.00</t>
        </is>
      </c>
      <c r="F61" s="3" t="n">
        <v>0</v>
      </c>
      <c r="G61" s="3" t="n">
        <v>55.43</v>
      </c>
    </row>
    <row r="62">
      <c r="B62" s="1" t="n">
        <v>45947</v>
      </c>
      <c r="C62" s="1" t="n"/>
      <c r="D62" t="inlineStr">
        <is>
          <t>ADT SECURITY*40 1501 YAMATO RD WWW.ADT.COM FL Date 10/16/25 7.00 204519915 5 4814.00</t>
        </is>
      </c>
      <c r="F62" s="3" t="n">
        <v>0</v>
      </c>
      <c r="G62" s="3" t="n">
        <v>46.64</v>
      </c>
    </row>
    <row r="63">
      <c r="B63" s="1" t="n">
        <v>45932</v>
      </c>
      <c r="C63" s="1" t="n"/>
      <c r="D63" t="inlineStr">
        <is>
          <t>AETNA</t>
        </is>
      </c>
      <c r="F63" s="3" t="n">
        <v>0</v>
      </c>
      <c r="G63" s="3" t="n">
        <v>4571.62</v>
      </c>
    </row>
    <row r="64">
      <c r="B64" s="1" t="n">
        <v>45964</v>
      </c>
      <c r="C64" s="1" t="n"/>
      <c r="D64" t="inlineStr">
        <is>
          <t>AETNA TYPE: SGR CO: AETNA Entry Class Code: CCD</t>
        </is>
      </c>
      <c r="F64" s="3" t="n">
        <v>0</v>
      </c>
      <c r="G64" s="3" t="n">
        <v>4571.62</v>
      </c>
    </row>
    <row r="65">
      <c r="B65" s="1" t="n">
        <v>45993</v>
      </c>
      <c r="C65" s="1" t="n"/>
      <c r="D65" t="inlineStr">
        <is>
          <t>AETNA TYPE: SGR CO: AETNA Entry Class Code: CCD</t>
        </is>
      </c>
      <c r="F65" s="3" t="n">
        <v>0</v>
      </c>
      <c r="G65" s="3" t="n">
        <v>4571.62</v>
      </c>
    </row>
    <row r="66">
      <c r="B66" s="1" t="n">
        <v>46021</v>
      </c>
      <c r="C66" s="1" t="n"/>
      <c r="D66" t="inlineStr">
        <is>
          <t>AMTRUST NA TYPE: PAYMENT CO: AMTRUST NA Entry Class Code: CCD</t>
        </is>
      </c>
      <c r="F66" s="3" t="n">
        <v>0</v>
      </c>
      <c r="G66" s="3" t="n">
        <v>776</v>
      </c>
    </row>
    <row r="67">
      <c r="B67" s="1" t="n">
        <v>45959</v>
      </c>
      <c r="C67" s="1" t="n"/>
      <c r="D67" t="inlineStr">
        <is>
          <t>AMTRUST NA TYPE: PAYMENT CO: AMTRUST NA Entry Class Code: CCD</t>
        </is>
      </c>
      <c r="F67" s="3" t="n">
        <v>0</v>
      </c>
      <c r="G67" s="3" t="n">
        <v>1114</v>
      </c>
    </row>
    <row r="68">
      <c r="B68" s="1" t="n">
        <v>45981</v>
      </c>
      <c r="C68" s="1" t="n"/>
      <c r="D68" t="inlineStr">
        <is>
          <t>APPLE VALLEY GA APPLE VALLEY CA</t>
        </is>
      </c>
      <c r="F68" s="3" t="n">
        <v>0</v>
      </c>
      <c r="G68" s="3" t="n">
        <v>55</v>
      </c>
    </row>
    <row r="69">
      <c r="B69" s="1" t="n">
        <v>45951</v>
      </c>
      <c r="C69" s="1" t="n"/>
      <c r="D69" t="inlineStr">
        <is>
          <t>APPLE VALLEY GA APPLE VALLEY CA</t>
        </is>
      </c>
      <c r="F69" s="3" t="n">
        <v>0</v>
      </c>
      <c r="G69" s="3" t="n">
        <v>61.21</v>
      </c>
    </row>
    <row r="70">
      <c r="B70" s="1" t="n">
        <v>45985</v>
      </c>
      <c r="C70" s="1" t="n"/>
      <c r="D70" t="inlineStr">
        <is>
          <t>ARCO #42405 AMPM BEAUMONT CA</t>
        </is>
      </c>
      <c r="F70" s="3" t="n">
        <v>0</v>
      </c>
      <c r="G70" s="3" t="n">
        <v>66.88</v>
      </c>
    </row>
    <row r="71">
      <c r="B71" s="1" t="n">
        <v>45988</v>
      </c>
      <c r="C71" s="1" t="n"/>
      <c r="D71" t="inlineStr">
        <is>
          <t>ARCO #42417 AMPM RANCHO CUCAMO CA</t>
        </is>
      </c>
      <c r="F71" s="3" t="n">
        <v>0</v>
      </c>
      <c r="G71" s="3" t="n">
        <v>90.87</v>
      </c>
    </row>
    <row r="72">
      <c r="B72" s="1" t="n">
        <v>45966</v>
      </c>
      <c r="C72" s="1" t="n"/>
      <c r="D72" t="inlineStr">
        <is>
          <t>AT&amp;T DEVICE/EQU 208 S AKARD ST DALLAS TX</t>
        </is>
      </c>
      <c r="F72" s="3" t="n">
        <v>0</v>
      </c>
      <c r="G72" s="3" t="n">
        <v>85.25</v>
      </c>
    </row>
    <row r="73">
      <c r="B73" s="1" t="n">
        <v>45937</v>
      </c>
      <c r="C73" s="1" t="n"/>
      <c r="D73" t="inlineStr">
        <is>
          <t>ATT* BILL PAYME 4331 COMMUNICATIONS DR DALLAS TX Date 10/06/25 5.00 505642913 8 4814.00</t>
        </is>
      </c>
      <c r="F73" s="3" t="n">
        <v>0</v>
      </c>
      <c r="G73" s="3" t="n">
        <v>128.51</v>
      </c>
    </row>
    <row r="74">
      <c r="B74" s="1" t="n">
        <v>45968</v>
      </c>
      <c r="C74" s="1" t="n"/>
      <c r="D74" t="inlineStr">
        <is>
          <t>ATT* BILL PAYME 4331 COMMUNICATIONS DR DALLAS TX Date 11/06/25 7 540759187 0 4814</t>
        </is>
      </c>
      <c r="F74" s="3" t="n">
        <v>0</v>
      </c>
      <c r="G74" s="3" t="n">
        <v>136.57</v>
      </c>
    </row>
    <row r="75">
      <c r="B75" s="1" t="n">
        <v>45999</v>
      </c>
      <c r="C75" s="1" t="n"/>
      <c r="D75" t="inlineStr">
        <is>
          <t>ATT* BILL PAYME 4331 COMMUNICATIONS DR DALLAS TX Date 12/07/25 7.00 574053544 4 4814.00</t>
        </is>
      </c>
      <c r="F75" s="3" t="n">
        <v>0</v>
      </c>
      <c r="G75" s="3" t="n">
        <v>175.66</v>
      </c>
    </row>
    <row r="76">
      <c r="B76" s="1" t="n">
        <v>46011</v>
      </c>
      <c r="C76" s="1" t="n"/>
      <c r="D76" t="inlineStr">
        <is>
          <t>BARNESNOBLE Rancho Cucamo CA</t>
        </is>
      </c>
      <c r="F76" s="3" t="n">
        <v>0</v>
      </c>
      <c r="G76" s="3" t="n">
        <v>47.93</v>
      </c>
    </row>
    <row r="77">
      <c r="B77" s="1" t="n">
        <v>45931</v>
      </c>
      <c r="C77" s="1" t="n"/>
      <c r="D77" t="inlineStr">
        <is>
          <t>CARDMEMBER SERV TYPE: ELECT PYMT CO: CARDMEMBER SERV Entry Class Code: CCD</t>
        </is>
      </c>
      <c r="F77" s="3" t="n">
        <v>0</v>
      </c>
      <c r="G77" s="3" t="n">
        <v>256</v>
      </c>
    </row>
    <row r="78">
      <c r="B78" s="1" t="n">
        <v>45964</v>
      </c>
      <c r="C78" s="1" t="n"/>
      <c r="D78" t="inlineStr">
        <is>
          <t>CARDMEMBER SERV TYPE: ELECT PYMT CO: CARDMEMBER SERV Entry Class Code: CCD</t>
        </is>
      </c>
      <c r="F78" s="3" t="n">
        <v>0</v>
      </c>
      <c r="G78" s="3" t="n">
        <v>330</v>
      </c>
    </row>
    <row r="79">
      <c r="B79" s="1" t="n">
        <v>45992</v>
      </c>
      <c r="C79" s="1" t="n"/>
      <c r="D79" t="inlineStr">
        <is>
          <t>CARDMEMBER SERV TYPE: ELECT PYMT CO: CARDMEMBER SERV Entry Class Code: CCD</t>
        </is>
      </c>
      <c r="F79" s="3" t="n">
        <v>0</v>
      </c>
      <c r="G79" s="3" t="n">
        <v>445</v>
      </c>
    </row>
    <row r="80">
      <c r="B80" s="1" t="n">
        <v>45958</v>
      </c>
      <c r="C80" s="1" t="n"/>
      <c r="D80" t="inlineStr">
        <is>
          <t>CHASE CREDIT CRD TYPE: EPAY CO: CHASE CREDIT CRD NAME: JAVIER F LOPEZ II Entry Class Code: WEB</t>
        </is>
      </c>
      <c r="F80" s="3" t="n">
        <v>0</v>
      </c>
      <c r="G80" s="3" t="n">
        <v>5000</v>
      </c>
    </row>
    <row r="81">
      <c r="B81" s="1" t="n">
        <v>45944</v>
      </c>
      <c r="C81" s="1" t="n"/>
      <c r="D81" t="inlineStr">
        <is>
          <t>CHASE CREDIT CRD TYPE: EPAY CO: CHASE CREDIT CRD NAME: JAVIER F LOPEZ II Entry Class Code: WEB</t>
        </is>
      </c>
      <c r="F81" s="3" t="n">
        <v>0</v>
      </c>
      <c r="G81" s="3" t="n">
        <v>18943.54</v>
      </c>
    </row>
    <row r="82">
      <c r="B82" s="1" t="n">
        <v>46006</v>
      </c>
      <c r="C82" s="1" t="n"/>
      <c r="D82" t="inlineStr">
        <is>
          <t>CHASE CREDIT CRD TYPE: EPAY CO: CHASE CREDIT CRD NAME: JAVIER F LOPEZ II Entry Class Code: WEB</t>
        </is>
      </c>
      <c r="F82" s="3" t="n">
        <v>0</v>
      </c>
      <c r="G82" s="3" t="n">
        <v>20012.08</v>
      </c>
    </row>
    <row r="83">
      <c r="B83" s="1" t="n">
        <v>45964</v>
      </c>
      <c r="C83" s="1" t="n"/>
      <c r="D83" t="inlineStr">
        <is>
          <t>Commercenter TYPE: SIGONFILE CO: Commercenter Entry Class Code: CCD</t>
        </is>
      </c>
      <c r="F83" s="3" t="n">
        <v>0</v>
      </c>
      <c r="G83" s="3" t="n">
        <v>1489</v>
      </c>
    </row>
    <row r="84">
      <c r="B84" s="1" t="n">
        <v>45932</v>
      </c>
      <c r="C84" s="1" t="n"/>
      <c r="D84" t="inlineStr">
        <is>
          <t>Commercenter--19 TYPE: SIGONFILE CO: Commercenter--19 Entry Class Code: CCD</t>
        </is>
      </c>
      <c r="F84" s="3" t="n">
        <v>0</v>
      </c>
      <c r="G84" s="3" t="n">
        <v>1489</v>
      </c>
    </row>
    <row r="85">
      <c r="B85" s="1" t="n">
        <v>45993</v>
      </c>
      <c r="C85" s="1" t="n"/>
      <c r="D85" t="inlineStr">
        <is>
          <t>Commercenter--19 TYPE: SIGONFILE CO: Commercenter--19 Entry Class Code: CCD</t>
        </is>
      </c>
      <c r="F85" s="3" t="n">
        <v>0</v>
      </c>
      <c r="G85" s="3" t="n">
        <v>1489</v>
      </c>
    </row>
    <row r="86">
      <c r="B86" s="1" t="n">
        <v>45988</v>
      </c>
      <c r="C86" s="1" t="n"/>
      <c r="D86" t="inlineStr">
        <is>
          <t>CRR INCORPORATE 11292 WESTERN AVE STANTON CA Date 11/26/25 1 173320077 6 4900</t>
        </is>
      </c>
      <c r="F86" s="3" t="n">
        <v>0</v>
      </c>
      <c r="G86" s="3" t="n">
        <v>110.1</v>
      </c>
    </row>
    <row r="87">
      <c r="B87" s="1" t="n">
        <v>45990</v>
      </c>
      <c r="C87" s="1" t="n"/>
      <c r="D87" t="inlineStr">
        <is>
          <t>DEL TACO 0768 6341 HAVEN AVENUE RANCHO CUCAMO CA Date 11/27/25 4 100072305 3 5814</t>
        </is>
      </c>
      <c r="F87" s="3" t="n">
        <v>0</v>
      </c>
      <c r="G87" s="3" t="n">
        <v>12.81</v>
      </c>
    </row>
    <row r="88">
      <c r="B88" s="1" t="n">
        <v>46015</v>
      </c>
      <c r="C88" s="1" t="n"/>
      <c r="D88" t="inlineStr">
        <is>
          <t>Dicks Sporting 14500 Bear Valley Road Victorville CA Date 12/23/25 2.00 5357014471 1.00 5941.00</t>
        </is>
      </c>
      <c r="F88" s="3" t="n">
        <v>0</v>
      </c>
      <c r="G88" s="3" t="n">
        <v>43.48</v>
      </c>
    </row>
    <row r="89">
      <c r="B89" s="1" t="n">
        <v>46002</v>
      </c>
      <c r="C89" s="1" t="n"/>
      <c r="D89" t="inlineStr">
        <is>
          <t>Employers Insura TYPE: debitpmt CO: Employers Insura NAME: ACH PYMT EPIC Entry Class Code: WEB</t>
        </is>
      </c>
      <c r="F89" s="3" t="n">
        <v>0</v>
      </c>
      <c r="G89" s="3" t="n">
        <v>1758</v>
      </c>
    </row>
    <row r="90">
      <c r="B90" s="1" t="n">
        <v>45943</v>
      </c>
      <c r="C90" s="1" t="n"/>
      <c r="D90" t="inlineStr">
        <is>
          <t>FAITHS HALLMARK 8754 19TH ST ALTA LOMA CA</t>
        </is>
      </c>
      <c r="F90" s="3" t="n">
        <v>0</v>
      </c>
      <c r="G90" s="3" t="n">
        <v>3.76</v>
      </c>
    </row>
    <row r="91">
      <c r="B91" s="1" t="n">
        <v>45991</v>
      </c>
      <c r="C91" s="1" t="n"/>
      <c r="D91" t="inlineStr">
        <is>
          <t>FARMER BOYS 117 1170 FOOTHILL BLVD UPLAND CA Date 11/29/25 0 000474937 7 5814</t>
        </is>
      </c>
      <c r="F91" s="3" t="n">
        <v>0</v>
      </c>
      <c r="G91" s="3" t="n">
        <v>14.86</v>
      </c>
    </row>
    <row r="92">
      <c r="B92" s="1" t="n">
        <v>45999</v>
      </c>
      <c r="C92" s="1" t="n"/>
      <c r="D92" t="inlineStr">
        <is>
          <t>GO. CALENDARS,G 6411.00 BURLESON ROAD AUSTIN TX</t>
        </is>
      </c>
      <c r="F92" s="3" t="n">
        <v>0</v>
      </c>
      <c r="G92" s="3" t="n">
        <v>34.62</v>
      </c>
    </row>
    <row r="93">
      <c r="B93" s="1" t="n">
        <v>45996</v>
      </c>
      <c r="C93" s="1" t="n"/>
      <c r="D93" t="inlineStr">
        <is>
          <t>Guideline Retire TYPE: Guideline CO: Guideline Retire Entry Class Code: CCD</t>
        </is>
      </c>
      <c r="F93" s="3" t="n">
        <v>0</v>
      </c>
      <c r="G93" s="3" t="n">
        <v>705</v>
      </c>
    </row>
    <row r="94">
      <c r="B94" s="1" t="n">
        <v>45936</v>
      </c>
      <c r="C94" s="1" t="n"/>
      <c r="D94" t="inlineStr">
        <is>
          <t>Guideline Retire TYPE: Guideline CO: Guideline Retire Entry Class Code: CCD</t>
        </is>
      </c>
      <c r="F94" s="3" t="n">
        <v>0</v>
      </c>
      <c r="G94" s="3" t="n">
        <v>713</v>
      </c>
    </row>
    <row r="95">
      <c r="B95" s="1" t="n">
        <v>45966</v>
      </c>
      <c r="C95" s="1" t="n"/>
      <c r="D95" t="inlineStr">
        <is>
          <t>Guideline Retire TYPE: Guideline CO: Guideline Retire Entry Class Code: CCD</t>
        </is>
      </c>
      <c r="F95" s="3" t="n">
        <v>0</v>
      </c>
      <c r="G95" s="3" t="n">
        <v>713</v>
      </c>
    </row>
    <row r="96">
      <c r="B96" s="1" t="n">
        <v>45986</v>
      </c>
      <c r="C96" s="1" t="n"/>
      <c r="D96" t="inlineStr">
        <is>
          <t>HADLEY'S FRUIT ORCHARD CABAZON CA</t>
        </is>
      </c>
      <c r="F96" s="3" t="n">
        <v>0</v>
      </c>
      <c r="G96" s="3" t="n">
        <v>105.41</v>
      </c>
    </row>
    <row r="97">
      <c r="B97" s="1" t="n">
        <v>46014</v>
      </c>
      <c r="C97" s="1" t="n"/>
      <c r="D97" t="inlineStr">
        <is>
          <t>LITTLE CAESARS 9799 BASELINE RD. RANCHO CUCAMO CA</t>
        </is>
      </c>
      <c r="F97" s="3" t="n">
        <v>0</v>
      </c>
      <c r="G97" s="3" t="n">
        <v>2.16</v>
      </c>
    </row>
    <row r="98">
      <c r="B98" s="1" t="n">
        <v>46014</v>
      </c>
      <c r="C98" s="1" t="n"/>
      <c r="D98" t="inlineStr">
        <is>
          <t>LITTLE CAESARS 9799 BASELINE RD. RANCHO CUCAMO CA</t>
        </is>
      </c>
      <c r="F98" s="3" t="n">
        <v>0</v>
      </c>
      <c r="G98" s="3" t="n">
        <v>31.19</v>
      </c>
    </row>
    <row r="99">
      <c r="B99" s="1" t="n">
        <v>45933</v>
      </c>
      <c r="C99" s="1" t="n"/>
      <c r="D99" t="inlineStr">
        <is>
          <t>NEWREZ-SHELLPOIN TYPE: WEB PMTS CO: NEWREZ-SHELLPOIN NAME: LOPEZ II JAVIER FERNA Entry Class Code: WEB</t>
        </is>
      </c>
      <c r="F99" s="3" t="n">
        <v>0</v>
      </c>
      <c r="G99" s="3" t="n">
        <v>18995.29</v>
      </c>
    </row>
    <row r="100">
      <c r="B100" s="1" t="n">
        <v>45965</v>
      </c>
      <c r="C100" s="1" t="n"/>
      <c r="D100" t="inlineStr">
        <is>
          <t>NEWREZ-SHELLPOIN TYPE: WEB PMTS CO: NEWREZ-SHELLPOIN NAME: LOPEZ II JAVIER FERNA Entry Class Code: WEB</t>
        </is>
      </c>
      <c r="F100" s="3" t="n">
        <v>0</v>
      </c>
      <c r="G100" s="3" t="n">
        <v>18995.29</v>
      </c>
    </row>
    <row r="101">
      <c r="B101" s="1" t="n">
        <v>45999</v>
      </c>
      <c r="C101" s="1" t="n"/>
      <c r="D101" t="inlineStr">
        <is>
          <t>NEWREZ-SHELLPOIN TYPE: WEB PMTS CO: NEWREZ-SHELLPOIN NAME: LOPEZ II JAVIER FERNA Entry Class Code: WEB</t>
        </is>
      </c>
      <c r="F101" s="3" t="n">
        <v>0</v>
      </c>
      <c r="G101" s="3" t="n">
        <v>18995.29</v>
      </c>
    </row>
    <row r="102">
      <c r="B102" s="1" t="n">
        <v>45932</v>
      </c>
      <c r="C102" s="1" t="n"/>
      <c r="D102" t="inlineStr">
        <is>
          <t>NORTHWESTERN MU TYPE: ISA PYMENT CO: NORTHWESTERN MU Entry Class Code: PPD</t>
        </is>
      </c>
      <c r="F102" s="3" t="n">
        <v>0</v>
      </c>
      <c r="G102" s="3" t="n">
        <v>258.35</v>
      </c>
    </row>
    <row r="103">
      <c r="B103" s="1" t="n">
        <v>45965</v>
      </c>
      <c r="C103" s="1" t="n"/>
      <c r="D103" t="inlineStr">
        <is>
          <t>NORTHWESTERN MU TYPE: ISA PYMENT CO: NORTHWESTERN MU Entry Class Code: PPD</t>
        </is>
      </c>
      <c r="F103" s="3" t="n">
        <v>0</v>
      </c>
      <c r="G103" s="3" t="n">
        <v>258.35</v>
      </c>
    </row>
    <row r="104">
      <c r="B104" s="1" t="n">
        <v>45993</v>
      </c>
      <c r="C104" s="1" t="n"/>
      <c r="D104" t="inlineStr">
        <is>
          <t>NORTHWESTERN MU TYPE: ISA PYMENT CO: NORTHWESTERN MU Entry Class Code: PPD</t>
        </is>
      </c>
      <c r="F104" s="3" t="n">
        <v>0</v>
      </c>
      <c r="G104" s="3" t="n">
        <v>258.35</v>
      </c>
    </row>
    <row r="105">
      <c r="B105" s="1" t="n">
        <v>45937</v>
      </c>
      <c r="C105" s="1" t="n"/>
      <c r="D105" t="inlineStr">
        <is>
          <t>NSM DBAMR.COOPER TYPE: NSM DBAMR CO: NSM DBAMR.COOPER NAME: JAVIER *LOPEZ Entry Class Code: WEB</t>
        </is>
      </c>
      <c r="F105" s="3" t="n">
        <v>0</v>
      </c>
      <c r="G105" s="3" t="n">
        <v>3306.48</v>
      </c>
    </row>
    <row r="106">
      <c r="B106" s="1" t="n">
        <v>45968</v>
      </c>
      <c r="C106" s="1" t="n"/>
      <c r="D106" t="inlineStr">
        <is>
          <t>NSM DBAMR.COOPER TYPE: NSM DBAMR CO: NSM DBAMR.COOPER NAME: JAVIER *LOPEZ Entry Class Code: WEB</t>
        </is>
      </c>
      <c r="F106" s="3" t="n">
        <v>0</v>
      </c>
      <c r="G106" s="3" t="n">
        <v>3306.48</v>
      </c>
    </row>
    <row r="107">
      <c r="B107" s="1" t="n">
        <v>45999</v>
      </c>
      <c r="C107" s="1" t="n"/>
      <c r="D107" t="inlineStr">
        <is>
          <t>NSM DBAMR.COOPER TYPE: NSM DBAMR CO: NSM DBAMR.COOPER NAME: JAVIER *LOPEZ Entry Class Code: WEB</t>
        </is>
      </c>
      <c r="F107" s="3" t="n">
        <v>0</v>
      </c>
      <c r="G107" s="3" t="n">
        <v>3306.48</v>
      </c>
    </row>
    <row r="108">
      <c r="B108" s="1" t="n">
        <v>46020</v>
      </c>
      <c r="C108" s="1" t="n"/>
      <c r="D108" t="inlineStr">
        <is>
          <t>OLSON DUNCAN INS TYPE: J2750 OOFF CO: OLSON DUNCAN INS Entry Class Code: CCD</t>
        </is>
      </c>
      <c r="F108" s="3" t="n">
        <v>0</v>
      </c>
      <c r="G108" s="3" t="n">
        <v>5287.21</v>
      </c>
    </row>
    <row r="109">
      <c r="B109" s="1" t="n">
        <v>45951</v>
      </c>
      <c r="C109" s="1" t="n"/>
      <c r="D109" t="inlineStr">
        <is>
          <t>PAYPAL TYPE: INST XFER CO: PAYPAL NAME: JAVIER LOPEZ Entry Class Code: WEB</t>
        </is>
      </c>
      <c r="F109" s="3" t="n">
        <v>0</v>
      </c>
      <c r="G109" s="3" t="n">
        <v>10.99</v>
      </c>
    </row>
    <row r="110">
      <c r="B110" s="1" t="n">
        <v>45982</v>
      </c>
      <c r="C110" s="1" t="n"/>
      <c r="D110" t="inlineStr">
        <is>
          <t>PAYPAL TYPE: INST XFER CO: PAYPAL NAME: JAVIER LOPEZ Entry Class Code: WEB</t>
        </is>
      </c>
      <c r="F110" s="3" t="n">
        <v>0</v>
      </c>
      <c r="G110" s="3" t="n">
        <v>12.99</v>
      </c>
    </row>
    <row r="111">
      <c r="B111" s="1" t="n">
        <v>46013</v>
      </c>
      <c r="C111" s="1" t="n"/>
      <c r="D111" t="inlineStr">
        <is>
          <t>PAYPAL TYPE: INST XFER CO: PAYPAL NAME: JAVIER LOPEZ Entry Class Code: WEB</t>
        </is>
      </c>
      <c r="F111" s="3" t="n">
        <v>0</v>
      </c>
      <c r="G111" s="3" t="n">
        <v>12.99</v>
      </c>
    </row>
    <row r="112">
      <c r="B112" s="1" t="n">
        <v>45993</v>
      </c>
      <c r="C112" s="1" t="n"/>
      <c r="D112" t="inlineStr">
        <is>
          <t>PAYPAL TYPE: INST XFER CO: PAYPAL NAME: JAVIER LOPEZ Entry Class Code: WEB</t>
        </is>
      </c>
      <c r="F112" s="3" t="n">
        <v>0</v>
      </c>
      <c r="G112" s="3" t="n">
        <v>16.57</v>
      </c>
    </row>
    <row r="113">
      <c r="B113" s="1" t="n">
        <v>46017</v>
      </c>
      <c r="C113" s="1" t="n"/>
      <c r="D113" t="inlineStr">
        <is>
          <t>PAYPAL TYPE: INST XFER CO: PAYPAL NAME: JAVIER LOPEZ Entry Class Code: WEB</t>
        </is>
      </c>
      <c r="F113" s="3" t="n">
        <v>0</v>
      </c>
      <c r="G113" s="3" t="n">
        <v>75.3</v>
      </c>
    </row>
    <row r="114">
      <c r="B114" s="1" t="n">
        <v>45958</v>
      </c>
      <c r="C114" s="1" t="n"/>
      <c r="D114" t="inlineStr">
        <is>
          <t>PAYPAL TYPE: INST XFER CO: PAYPAL NAME: JAVIER LOPEZ Entry Class Code: WEB</t>
        </is>
      </c>
      <c r="F114" s="3" t="n">
        <v>0</v>
      </c>
      <c r="G114" s="3" t="n">
        <v>1000</v>
      </c>
    </row>
    <row r="115">
      <c r="B115" s="1" t="n">
        <v>45965</v>
      </c>
      <c r="C115" s="1" t="n"/>
      <c r="D115" t="inlineStr">
        <is>
          <t>PLIC-SBD TYPE: INSUR CLM CO: PLIC-SBD Entry Class Code: CCD</t>
        </is>
      </c>
      <c r="F115" s="3" t="n">
        <v>0</v>
      </c>
      <c r="G115" s="3" t="n">
        <v>141.2</v>
      </c>
    </row>
    <row r="116">
      <c r="B116" s="1" t="n">
        <v>45993</v>
      </c>
      <c r="C116" s="1" t="n"/>
      <c r="D116" t="inlineStr">
        <is>
          <t>PLIC-SBD TYPE: INSUR CLM CO: PLIC-SBD Entry Class Code: CCD</t>
        </is>
      </c>
      <c r="F116" s="3" t="n">
        <v>0</v>
      </c>
      <c r="G116" s="3" t="n">
        <v>141.2</v>
      </c>
    </row>
    <row r="117">
      <c r="B117" s="1" t="n">
        <v>45932</v>
      </c>
      <c r="C117" s="1" t="n"/>
      <c r="D117" t="inlineStr">
        <is>
          <t>PLIC-SBD TYPE: INSUR CLM CO: PLIC-SBD Entry Class Code: CCD</t>
        </is>
      </c>
      <c r="F117" s="3" t="n">
        <v>0</v>
      </c>
      <c r="G117" s="3" t="n">
        <v>148.26</v>
      </c>
    </row>
    <row r="118">
      <c r="B118" s="1" t="n">
        <v>45959</v>
      </c>
      <c r="C118" s="1" t="n"/>
      <c r="D118" t="inlineStr">
        <is>
          <t>PNC BANK TYPE: ACCTVERIFY CO: PNC BANK NAME: ASSURE BEHAVIORALSER Entry Class Code: WEB</t>
        </is>
      </c>
      <c r="F118" s="3" t="n">
        <v>0</v>
      </c>
      <c r="G118" s="3" t="n">
        <v>0.48</v>
      </c>
    </row>
    <row r="119">
      <c r="B119" s="1" t="n">
        <v>45993</v>
      </c>
      <c r="C119" s="1" t="n"/>
      <c r="D119" t="inlineStr">
        <is>
          <t>PNC LENDING TYPE: PAYMENT CO: PNC LENDING NAME: ASSURE BEHAVIORAL SE Entry Class Code: WEB</t>
        </is>
      </c>
      <c r="F119" s="3" t="n">
        <v>0</v>
      </c>
      <c r="G119" s="3" t="n">
        <v>52.11</v>
      </c>
    </row>
    <row r="120">
      <c r="B120" s="1" t="n">
        <v>45965</v>
      </c>
      <c r="C120" s="1" t="n"/>
      <c r="D120" t="inlineStr">
        <is>
          <t>PNC LENDING TYPE: PAYMENT CO: PNC LENDING NAME: ASSURE BEHAVIORAL SE Entry Class Code: WEB</t>
        </is>
      </c>
      <c r="F120" s="3" t="n">
        <v>0</v>
      </c>
      <c r="G120" s="3" t="n">
        <v>100</v>
      </c>
    </row>
    <row r="121">
      <c r="B121" s="1" t="n">
        <v>45961</v>
      </c>
      <c r="C121" s="1" t="n"/>
      <c r="D121" t="inlineStr">
        <is>
          <t>PNC LENDING TYPE: PAYMENT CO: PNC LENDING NAME: ASSURE BEHAVIORAL SE Entry Class Code: WEB</t>
        </is>
      </c>
      <c r="F121" s="3" t="n">
        <v>0</v>
      </c>
      <c r="G121" s="3" t="n">
        <v>6000</v>
      </c>
    </row>
    <row r="122">
      <c r="B122" s="1" t="n">
        <v>45986</v>
      </c>
      <c r="C122" s="1" t="n"/>
      <c r="D122" t="inlineStr">
        <is>
          <t>PNC LENDING TYPE: PAYMENT CO: PNC LENDING NAME: ASSURE BEHAVIORAL SE Entry Class Code: WEB</t>
        </is>
      </c>
      <c r="F122" s="3" t="n">
        <v>0</v>
      </c>
      <c r="G122" s="3" t="n">
        <v>12464.38</v>
      </c>
    </row>
    <row r="123">
      <c r="B123" s="1" t="n">
        <v>46014</v>
      </c>
      <c r="C123" s="1" t="n"/>
      <c r="D123" t="inlineStr">
        <is>
          <t>PNCBK CK WEBXFR TYPE: TRANSFER CO: PNCBK CK WEBXFR Entry Class Code: CTX</t>
        </is>
      </c>
      <c r="F123" s="3" t="n">
        <v>0</v>
      </c>
      <c r="G123" s="3" t="n">
        <v>5000</v>
      </c>
    </row>
    <row r="124">
      <c r="B124" s="1" t="n">
        <v>45986</v>
      </c>
      <c r="C124" s="1" t="n"/>
      <c r="D124" t="inlineStr">
        <is>
          <t>RIVERSDE UTILITY TYPE: WEB_PAY CO: RIVERSDE UTILITY NAME: JAVIER LOPEZ Entry Class Code: WEB</t>
        </is>
      </c>
      <c r="F124" s="3" t="n">
        <v>0</v>
      </c>
      <c r="G124" s="3" t="n">
        <v>469.4</v>
      </c>
    </row>
    <row r="125">
      <c r="B125" s="1" t="n">
        <v>46003</v>
      </c>
      <c r="C125" s="1" t="n"/>
      <c r="D125" t="inlineStr">
        <is>
          <t>SAET BYUL ASIAN 9555 MAGNOLIA AVE ST RIVERSIDE CA Date 12/11/25 5.00 293439890 2 5499.00</t>
        </is>
      </c>
      <c r="F125" s="3" t="n">
        <v>0</v>
      </c>
      <c r="G125" s="3" t="n">
        <v>96.05</v>
      </c>
    </row>
    <row r="126">
      <c r="B126" s="1" t="n">
        <v>46002</v>
      </c>
      <c r="C126" s="1" t="n"/>
      <c r="D126" t="inlineStr">
        <is>
          <t>SAN BERNARDINO TYPE: TAX COLL. CO: SAN BERNARDINO Entry Class Code: CCD</t>
        </is>
      </c>
      <c r="F126" s="3" t="n">
        <v>0</v>
      </c>
      <c r="G126" s="3" t="n">
        <v>3237.29</v>
      </c>
    </row>
    <row r="127">
      <c r="B127" s="1" t="n">
        <v>46001</v>
      </c>
      <c r="C127" s="1" t="n"/>
      <c r="D127" t="inlineStr">
        <is>
          <t>SHELL OIL 12638.00 2403 E HOUSTON ST CLEVELAND TX Date 12/08/25 0.00 575923632 5 5541.00</t>
        </is>
      </c>
      <c r="F127" s="3" t="n">
        <v>0</v>
      </c>
      <c r="G127" s="3" t="n">
        <v>18.91</v>
      </c>
    </row>
    <row r="128">
      <c r="B128" s="1" t="n">
        <v>46001</v>
      </c>
      <c r="C128" s="1" t="n"/>
      <c r="D128" t="inlineStr">
        <is>
          <t>SO CAL EDISON CO</t>
        </is>
      </c>
      <c r="F128" s="3" t="n">
        <v>0</v>
      </c>
      <c r="G128" s="3" t="n">
        <v>25.05</v>
      </c>
    </row>
    <row r="129">
      <c r="B129" s="1" t="n">
        <v>45965</v>
      </c>
      <c r="C129" s="1" t="n"/>
      <c r="D129" t="inlineStr">
        <is>
          <t>SO CAL EDISON CO TYPE: BILL PAYMT CO: SO CAL EDISON CO NAME: ASSURE BEHAVIORAL SERV Entry Class Code: WEB</t>
        </is>
      </c>
      <c r="F129" s="3" t="n">
        <v>0</v>
      </c>
      <c r="G129" s="3" t="n">
        <v>23.27</v>
      </c>
    </row>
    <row r="130">
      <c r="B130" s="1" t="n">
        <v>45965</v>
      </c>
      <c r="C130" s="1" t="n"/>
      <c r="D130" t="inlineStr">
        <is>
          <t>SO CAL EDISON CO TYPE: BILL PAYMT CO: SO CAL EDISON CO NAME: ASSURE BEHAVIORAL SERV Entry Class Code: WEB</t>
        </is>
      </c>
      <c r="F130" s="3" t="n">
        <v>0</v>
      </c>
      <c r="G130" s="3" t="n">
        <v>49.94</v>
      </c>
    </row>
    <row r="131">
      <c r="B131" s="1" t="n">
        <v>46001</v>
      </c>
      <c r="C131" s="1" t="n"/>
      <c r="D131" t="inlineStr">
        <is>
          <t>SO CAL EDISON CO TYPE: BILL PAYMT CO: SO CAL EDISON CO NAME: ASSURE BEHAVIORAL SERV Entry Class Code: WEB</t>
        </is>
      </c>
      <c r="F131" s="3" t="n">
        <v>0</v>
      </c>
      <c r="G131" s="3" t="n">
        <v>111.35</v>
      </c>
    </row>
    <row r="132">
      <c r="B132" s="1" t="n">
        <v>45933</v>
      </c>
      <c r="C132" s="1" t="n"/>
      <c r="D132" t="inlineStr">
        <is>
          <t>SO CAL EDISON CO TYPE: BILL PAYMT CO: SO CAL EDISON CO NAME: ASSURE BEHAVIORAL SERV Entry Class Code: WEB</t>
        </is>
      </c>
      <c r="F132" s="3" t="n">
        <v>0</v>
      </c>
      <c r="G132" s="3" t="n">
        <v>125.53</v>
      </c>
    </row>
    <row r="133">
      <c r="B133" s="1" t="n">
        <v>45933</v>
      </c>
      <c r="C133" s="1" t="n"/>
      <c r="D133" t="inlineStr">
        <is>
          <t>SO CAL EDISON CO TYPE: BILL PAYMT CO: SO CAL EDISON CO NAME: ASSURE BEHAVIORAL SERV Entry Class Code: WEB</t>
        </is>
      </c>
      <c r="F133" s="3" t="n">
        <v>0</v>
      </c>
      <c r="G133" s="3" t="n">
        <v>547.21</v>
      </c>
    </row>
    <row r="134">
      <c r="B134" s="1" t="n">
        <v>46001</v>
      </c>
      <c r="C134" s="1" t="n"/>
      <c r="D134" t="inlineStr">
        <is>
          <t>SO CAL EDISON CO TYPE: BILL PAYMT CO: SO CAL EDISON CO NAME: ASSURE BEHAVIORAL SERV Entry Class Code: WEB</t>
        </is>
      </c>
      <c r="F134" s="3" t="n">
        <v>0</v>
      </c>
      <c r="G134" s="3" t="n">
        <v>604.09</v>
      </c>
    </row>
    <row r="135">
      <c r="B135" s="1" t="n">
        <v>45965</v>
      </c>
      <c r="C135" s="1" t="n"/>
      <c r="D135" t="inlineStr">
        <is>
          <t>SO CAL EDISON CO TYPE: BILL PAYMT CO: SO CAL EDISON CO NAME: ASSURE BEHAVIORAL SERV Entry Class Code: WEB</t>
        </is>
      </c>
      <c r="F135" s="3" t="n">
        <v>0</v>
      </c>
      <c r="G135" s="3" t="n">
        <v>692.42</v>
      </c>
    </row>
    <row r="136">
      <c r="B136" s="1" t="n">
        <v>45933</v>
      </c>
      <c r="C136" s="1" t="n"/>
      <c r="D136" t="inlineStr">
        <is>
          <t>SO CAL EDISON CO TYPE: BILL PAYMT CO: SO CAL EDISON CO NAME: ASSURE BEHAVIORAL SERV Entry Class Code: WEB</t>
        </is>
      </c>
      <c r="F136" s="3" t="n">
        <v>0</v>
      </c>
      <c r="G136" s="3" t="n">
        <v>1174.29</v>
      </c>
    </row>
    <row r="137">
      <c r="B137" s="1" t="n">
        <v>45958</v>
      </c>
      <c r="C137" s="1" t="n"/>
      <c r="D137" t="inlineStr">
        <is>
          <t>SO CAL EDISON CO TYPE: BILL PAYMT CO: SO CAL EDISON CO NAME: Lopez F Javier Entry Class Code: WEB</t>
        </is>
      </c>
      <c r="F137" s="3" t="n">
        <v>0</v>
      </c>
      <c r="G137" s="3" t="n">
        <v>459.16</v>
      </c>
    </row>
    <row r="138">
      <c r="B138" s="1" t="n">
        <v>45944</v>
      </c>
      <c r="C138" s="1" t="n"/>
      <c r="D138" t="inlineStr">
        <is>
          <t>SoCalGas TYPE: PAID SCGC CO: SoCalGas NAME: 301601474297233154.00 Entry Class Code: WEB</t>
        </is>
      </c>
      <c r="F138" s="3" t="n">
        <v>0</v>
      </c>
      <c r="G138" s="3" t="n">
        <v>36.48</v>
      </c>
    </row>
    <row r="139">
      <c r="B139" s="1" t="n">
        <v>45981</v>
      </c>
      <c r="C139" s="1" t="n"/>
      <c r="D139" t="inlineStr">
        <is>
          <t>Spectrum 12405 Powerscourt Dr 855-707-7328 MO Date 11/19/25 6 206274711 8 4899</t>
        </is>
      </c>
      <c r="F139" s="3" t="n">
        <v>0</v>
      </c>
      <c r="G139" s="3" t="n">
        <v>31.24</v>
      </c>
    </row>
    <row r="140">
      <c r="B140" s="1" t="n">
        <v>45950</v>
      </c>
      <c r="C140" s="1" t="n"/>
      <c r="D140" t="inlineStr">
        <is>
          <t>Spectrum 12405.00 Powerscourt Dr. 855-707-7328 MO Date 10/19/25 7.00 205402111 8 4899.00</t>
        </is>
      </c>
      <c r="F140" s="3" t="n">
        <v>0</v>
      </c>
      <c r="G140" s="3" t="n">
        <v>31.24</v>
      </c>
    </row>
    <row r="141">
      <c r="B141" s="1" t="n">
        <v>46011</v>
      </c>
      <c r="C141" s="1" t="n"/>
      <c r="D141" t="inlineStr">
        <is>
          <t>Spectrum 12405.00 Powerscourt Dr. 855-707-7328 MO Date 12/19/25 3.00 207664750 1 4899.00</t>
        </is>
      </c>
      <c r="F141" s="3" t="n">
        <v>0</v>
      </c>
      <c r="G141" s="3" t="n">
        <v>31.24</v>
      </c>
    </row>
    <row r="142">
      <c r="B142" s="1" t="n">
        <v>45999</v>
      </c>
      <c r="C142" s="1" t="n"/>
      <c r="D142" t="inlineStr">
        <is>
          <t>SQ *SHAKE SHACK 1201 Lake Woodlands Dr. The Woodlands TX Date 12/08/25 6.00 203569446 8 5814.00</t>
        </is>
      </c>
      <c r="F142" s="3" t="n">
        <v>0</v>
      </c>
      <c r="G142" s="3" t="n">
        <v>40.11</v>
      </c>
    </row>
    <row r="143">
      <c r="B143" s="1" t="n">
        <v>45973</v>
      </c>
      <c r="C143" s="1" t="n"/>
      <c r="D143" t="inlineStr">
        <is>
          <t>SSBTRUSTOPS TYPE: P/R Contr CO: SSBTRUSTOPS Entry Class Code: CCD</t>
        </is>
      </c>
      <c r="F143" s="3" t="n">
        <v>0</v>
      </c>
      <c r="G143" s="3" t="n">
        <v>52.78</v>
      </c>
    </row>
    <row r="144">
      <c r="B144" s="1" t="n">
        <v>45958</v>
      </c>
      <c r="C144" s="1" t="n"/>
      <c r="D144" t="inlineStr">
        <is>
          <t>SSBTRUSTOPS TYPE: P/R Contr CO: SSBTRUSTOPS Entry Class Code: CCD</t>
        </is>
      </c>
      <c r="F144" s="3" t="n">
        <v>0</v>
      </c>
      <c r="G144" s="3" t="n">
        <v>72.42</v>
      </c>
    </row>
    <row r="145">
      <c r="B145" s="1" t="n">
        <v>45986</v>
      </c>
      <c r="C145" s="1" t="n"/>
      <c r="D145" t="inlineStr">
        <is>
          <t>SSBTRUSTOPS TYPE: P/R Contr CO: SSBTRUSTOPS Entry Class Code: CCD</t>
        </is>
      </c>
      <c r="F145" s="3" t="n">
        <v>0</v>
      </c>
      <c r="G145" s="3" t="n">
        <v>73.72</v>
      </c>
    </row>
    <row r="146">
      <c r="B146" s="1" t="n">
        <v>46013</v>
      </c>
      <c r="C146" s="1" t="n"/>
      <c r="D146" t="inlineStr">
        <is>
          <t>SSBTRUSTOPS TYPE: P/R Contr CO: SSBTRUSTOPS Entry Class Code: CCD</t>
        </is>
      </c>
      <c r="F146" s="3" t="n">
        <v>0</v>
      </c>
      <c r="G146" s="3" t="n">
        <v>89.70999999999999</v>
      </c>
    </row>
    <row r="147">
      <c r="B147" s="1" t="n">
        <v>45950</v>
      </c>
      <c r="C147" s="1" t="n"/>
      <c r="D147" t="inlineStr">
        <is>
          <t>SSBTRUSTOPS TYPE: P/R Contr CO: SSBTRUSTOPS Entry Class Code: CCD</t>
        </is>
      </c>
      <c r="F147" s="3" t="n">
        <v>0</v>
      </c>
      <c r="G147" s="3" t="n">
        <v>118.04</v>
      </c>
    </row>
    <row r="148">
      <c r="B148" s="1" t="n">
        <v>45979</v>
      </c>
      <c r="C148" s="1" t="n"/>
      <c r="D148" t="inlineStr">
        <is>
          <t>SSBTRUSTOPS TYPE: P/R Contr CO: SSBTRUSTOPS Entry Class Code: CCD</t>
        </is>
      </c>
      <c r="F148" s="3" t="n">
        <v>0</v>
      </c>
      <c r="G148" s="3" t="n">
        <v>5051.03</v>
      </c>
    </row>
    <row r="149">
      <c r="B149" s="1" t="n">
        <v>46010</v>
      </c>
      <c r="C149" s="1" t="n"/>
      <c r="D149" t="inlineStr">
        <is>
          <t>SSBTRUSTOPS TYPE: P/R Contr CO: SSBTRUSTOPS Entry Class Code: CCD</t>
        </is>
      </c>
      <c r="F149" s="3" t="n">
        <v>0</v>
      </c>
      <c r="G149" s="3" t="n">
        <v>5343.45</v>
      </c>
    </row>
    <row r="150">
      <c r="B150" s="1" t="n">
        <v>45996</v>
      </c>
      <c r="C150" s="1" t="n"/>
      <c r="D150" t="inlineStr">
        <is>
          <t>SSBTRUSTOPS TYPE: P/R Contr CO: SSBTRUSTOPS Entry Class Code: CCD</t>
        </is>
      </c>
      <c r="F150" s="3" t="n">
        <v>0</v>
      </c>
      <c r="G150" s="3" t="n">
        <v>5464.17</v>
      </c>
    </row>
    <row r="151">
      <c r="B151" s="1" t="n">
        <v>45965</v>
      </c>
      <c r="C151" s="1" t="n"/>
      <c r="D151" t="inlineStr">
        <is>
          <t>SSBTRUSTOPS TYPE: P/R Contr CO: SSBTRUSTOPS Entry Class Code: CCD</t>
        </is>
      </c>
      <c r="F151" s="3" t="n">
        <v>0</v>
      </c>
      <c r="G151" s="3" t="n">
        <v>7211.8</v>
      </c>
    </row>
    <row r="152">
      <c r="B152" s="1" t="n">
        <v>45951</v>
      </c>
      <c r="C152" s="1" t="n"/>
      <c r="D152" t="inlineStr">
        <is>
          <t>SSBTRUSTOPS TYPE: P/R Contr CO: SSBTRUSTOPS Entry Class Code: CCD</t>
        </is>
      </c>
      <c r="F152" s="3" t="n">
        <v>0</v>
      </c>
      <c r="G152" s="3" t="n">
        <v>7471.17</v>
      </c>
    </row>
    <row r="153">
      <c r="B153" s="1" t="n">
        <v>45937</v>
      </c>
      <c r="C153" s="1" t="n"/>
      <c r="D153" t="inlineStr">
        <is>
          <t>SSBTRUSTOPS TYPE: P/R Contr CO: SSBTRUSTOPS Entry Class Code: CCD</t>
        </is>
      </c>
      <c r="F153" s="3" t="n">
        <v>0</v>
      </c>
      <c r="G153" s="3" t="n">
        <v>8838.74</v>
      </c>
    </row>
    <row r="154">
      <c r="B154" s="1" t="n">
        <v>45986</v>
      </c>
      <c r="C154" s="1" t="n"/>
      <c r="D154" t="inlineStr">
        <is>
          <t>TARGET T-0761 Hemet CA</t>
        </is>
      </c>
      <c r="F154" s="3" t="n">
        <v>0</v>
      </c>
      <c r="G154" s="3" t="n">
        <v>38.99</v>
      </c>
    </row>
    <row r="155">
      <c r="B155" s="1" t="n">
        <v>45988</v>
      </c>
      <c r="C155" s="1" t="n"/>
      <c r="D155" t="inlineStr">
        <is>
          <t>THE POKE PLACE 10710 FOOTHILL BLVD #12 RANCHO CUCAMO CA Date 11/26/25 9 170541169 9 5814</t>
        </is>
      </c>
      <c r="F155" s="3" t="n">
        <v>0</v>
      </c>
      <c r="G155" s="3" t="n">
        <v>18.26</v>
      </c>
    </row>
    <row r="156">
      <c r="B156" s="1" t="n">
        <v>46008</v>
      </c>
      <c r="C156" s="1" t="n"/>
      <c r="D156" t="inlineStr">
        <is>
          <t>To inquire or verify EFT transactions ***8347 12/01/25 Thru 12/31/25 4 of 5 write us at: P.O. Box 908.00 Riverside, CA 92502-0908 or Phone: (888) 883-7228 P.O. Box 908.00 Riverside, CA 92502-0908</t>
        </is>
      </c>
      <c r="F156" s="3" t="n">
        <v>0</v>
      </c>
    </row>
    <row r="157">
      <c r="B157" s="1" t="n">
        <v>45984</v>
      </c>
      <c r="C157" s="1" t="n"/>
      <c r="D157" t="inlineStr">
        <is>
          <t>TOTAL WINE AND RANCHO CUCAMO CA</t>
        </is>
      </c>
      <c r="F157" s="3" t="n">
        <v>0</v>
      </c>
      <c r="G157" s="3" t="n">
        <v>86.25</v>
      </c>
    </row>
    <row r="158">
      <c r="B158" s="1" t="n">
        <v>45937</v>
      </c>
      <c r="C158" s="1" t="n"/>
      <c r="D158" t="inlineStr">
        <is>
          <t>TOYOTA ACH RTL TYPE: 10052025.00 CO: TOYOTA ACH RTL NAME: JAVIER F LOPEZ Entry Class Code: WEB</t>
        </is>
      </c>
      <c r="F158" s="3" t="n">
        <v>0</v>
      </c>
      <c r="G158" s="3" t="n">
        <v>347.95</v>
      </c>
    </row>
    <row r="159">
      <c r="B159" s="1" t="n">
        <v>45945</v>
      </c>
      <c r="C159" s="1" t="n"/>
      <c r="D159" t="inlineStr">
        <is>
          <t>TOYOTA ACH RTL TYPE: 10122025.00 CO: TOYOTA ACH RTL NAME: JAVIER F LOPEZ Entry Class Code: WEB</t>
        </is>
      </c>
      <c r="F159" s="3" t="n">
        <v>0</v>
      </c>
      <c r="G159" s="3" t="n">
        <v>347.95</v>
      </c>
    </row>
    <row r="160">
      <c r="B160" s="1" t="n">
        <v>45951</v>
      </c>
      <c r="C160" s="1" t="n"/>
      <c r="D160" t="inlineStr">
        <is>
          <t>TOYOTA ACH RTL TYPE: 10192025.00 CO: TOYOTA ACH RTL NAME: JAVIER F LOPEZ Entry Class Code: WEB</t>
        </is>
      </c>
      <c r="F160" s="3" t="n">
        <v>0</v>
      </c>
      <c r="G160" s="3" t="n">
        <v>347.95</v>
      </c>
    </row>
    <row r="161">
      <c r="B161" s="1" t="n">
        <v>45958</v>
      </c>
      <c r="C161" s="1" t="n"/>
      <c r="D161" t="inlineStr">
        <is>
          <t>TOYOTA ACH RTL TYPE: 10262025.00 CO: TOYOTA ACH RTL NAME: JAVIER F LOPEZ Entry Class Code: WEB</t>
        </is>
      </c>
      <c r="F161" s="3" t="n">
        <v>0</v>
      </c>
      <c r="G161" s="3" t="n">
        <v>347.95</v>
      </c>
    </row>
    <row r="162">
      <c r="B162" s="1" t="n">
        <v>45965</v>
      </c>
      <c r="C162" s="1" t="n"/>
      <c r="D162" t="inlineStr">
        <is>
          <t>TOYOTA ACH RTL TYPE: 11022025 CO: TOYOTA ACH RTL NAME: JAVIER F LOPEZ Entry Class Code: WEB</t>
        </is>
      </c>
      <c r="F162" s="3" t="n">
        <v>0</v>
      </c>
      <c r="G162" s="3" t="n">
        <v>347.95</v>
      </c>
    </row>
    <row r="163">
      <c r="B163" s="1" t="n">
        <v>45973</v>
      </c>
      <c r="C163" s="1" t="n"/>
      <c r="D163" t="inlineStr">
        <is>
          <t>TOYOTA ACH RTL TYPE: 11092025 CO: TOYOTA ACH RTL NAME: JAVIER F LOPEZ Entry Class Code: WEB</t>
        </is>
      </c>
      <c r="F163" s="3" t="n">
        <v>0</v>
      </c>
      <c r="G163" s="3" t="n">
        <v>347.95</v>
      </c>
    </row>
    <row r="164">
      <c r="B164" s="1" t="n">
        <v>45979</v>
      </c>
      <c r="C164" s="1" t="n"/>
      <c r="D164" t="inlineStr">
        <is>
          <t>TOYOTA ACH RTL TYPE: 11162025 CO: TOYOTA ACH RTL NAME: JAVIER F LOPEZ Entry Class Code: WEB</t>
        </is>
      </c>
      <c r="F164" s="3" t="n">
        <v>0</v>
      </c>
      <c r="G164" s="3" t="n">
        <v>347.95</v>
      </c>
    </row>
    <row r="165">
      <c r="B165" s="1" t="n">
        <v>45986</v>
      </c>
      <c r="C165" s="1" t="n"/>
      <c r="D165" t="inlineStr">
        <is>
          <t>TOYOTA ACH RTL TYPE: 11232025 CO: TOYOTA ACH RTL NAME: JAVIER F LOPEZ Entry Class Code: WEB</t>
        </is>
      </c>
      <c r="F165" s="3" t="n">
        <v>0</v>
      </c>
      <c r="G165" s="3" t="n">
        <v>347.95</v>
      </c>
    </row>
    <row r="166">
      <c r="B166" s="1" t="n">
        <v>45993</v>
      </c>
      <c r="C166" s="1" t="n"/>
      <c r="D166" t="inlineStr">
        <is>
          <t>TOYOTA ACH RTL TYPE: 12012025.00 CO: TOYOTA ACH RTL NAME: JAVIER F LOPEZ Entry Class Code: WEB</t>
        </is>
      </c>
      <c r="F166" s="3" t="n">
        <v>0</v>
      </c>
      <c r="G166" s="3" t="n">
        <v>347.95</v>
      </c>
    </row>
    <row r="167">
      <c r="B167" s="1" t="n">
        <v>46000</v>
      </c>
      <c r="C167" s="1" t="n"/>
      <c r="D167" t="inlineStr">
        <is>
          <t>TOYOTA ACH RTL TYPE: 12072025.00 CO: TOYOTA ACH RTL NAME: JAVIER F LOPEZ Entry Class Code: WEB</t>
        </is>
      </c>
      <c r="F167" s="3" t="n">
        <v>0</v>
      </c>
      <c r="G167" s="3" t="n">
        <v>347.95</v>
      </c>
    </row>
    <row r="168">
      <c r="B168" s="1" t="n">
        <v>46007</v>
      </c>
      <c r="C168" s="1" t="n"/>
      <c r="D168" t="inlineStr">
        <is>
          <t>TOYOTA ACH RTL TYPE: 12152025.00 CO: TOYOTA ACH RTL NAME: JAVIER F LOPEZ Entry Class Code: WEB</t>
        </is>
      </c>
      <c r="F168" s="3" t="n">
        <v>0</v>
      </c>
      <c r="G168" s="3" t="n">
        <v>347.95</v>
      </c>
    </row>
    <row r="169">
      <c r="B169" s="1" t="n">
        <v>46014</v>
      </c>
      <c r="C169" s="1" t="n"/>
      <c r="D169" t="inlineStr">
        <is>
          <t>TOYOTA ACH RTL TYPE: 12212025.00 CO: TOYOTA ACH RTL NAME: JAVIER F LOPEZ Entry Class Code: WEB</t>
        </is>
      </c>
      <c r="F169" s="3" t="n">
        <v>0</v>
      </c>
      <c r="G169" s="3" t="n">
        <v>347.95</v>
      </c>
    </row>
    <row r="170">
      <c r="B170" s="1" t="n">
        <v>46021</v>
      </c>
      <c r="C170" s="1" t="n"/>
      <c r="D170" t="inlineStr">
        <is>
          <t>TOYOTA ACH RTL TYPE: 12282025.00 CO: TOYOTA ACH RTL NAME: JAVIER F LOPEZ Entry Class Code: WEB</t>
        </is>
      </c>
      <c r="F170" s="3" t="n">
        <v>0</v>
      </c>
      <c r="G170" s="3" t="n">
        <v>347.95</v>
      </c>
    </row>
    <row r="171">
      <c r="B171" s="1" t="n">
        <v>45993</v>
      </c>
      <c r="C171" s="1" t="n"/>
      <c r="D171" t="inlineStr">
        <is>
          <t>Tray1 3.00 Account No. Statement Period Page</t>
        </is>
      </c>
      <c r="F171" s="3" t="n">
        <v>0</v>
      </c>
    </row>
    <row r="172">
      <c r="B172" s="1" t="n">
        <v>45999</v>
      </c>
      <c r="C172" s="1" t="n"/>
      <c r="D172" t="inlineStr">
        <is>
          <t>URBAN OUTFITTER 1201.00 LAKE WOODLANDS DR. SPRING TX</t>
        </is>
      </c>
      <c r="F172" s="3" t="n">
        <v>0</v>
      </c>
      <c r="G172" s="3" t="n">
        <v>34.64</v>
      </c>
    </row>
    <row r="173">
      <c r="B173" s="1" t="n">
        <v>46021</v>
      </c>
      <c r="C173" s="1" t="n"/>
      <c r="D173" t="inlineStr">
        <is>
          <t>WIENERSCHNITZEL 12719 Foothill Blvd RANCHO CUCAMO CA Date 12/28/25 4.00 005204223 0 5814.00</t>
        </is>
      </c>
      <c r="F173" s="3" t="n">
        <v>0</v>
      </c>
      <c r="G173" s="3" t="n">
        <v>13.78</v>
      </c>
    </row>
    <row r="174">
      <c r="B174" s="1" t="n">
        <v>45975</v>
      </c>
      <c r="C174" s="1" t="n"/>
      <c r="D174" t="inlineStr">
        <is>
          <t>Withdrawal</t>
        </is>
      </c>
      <c r="F174" s="3" t="n">
        <v>0</v>
      </c>
      <c r="G174" s="3" t="n">
        <v>200</v>
      </c>
    </row>
    <row r="175">
      <c r="B175" s="1" t="n">
        <v>45940</v>
      </c>
      <c r="C175" s="1" t="n"/>
      <c r="D175" t="inlineStr">
        <is>
          <t>Withdrawal</t>
        </is>
      </c>
      <c r="F175" s="3" t="n">
        <v>0</v>
      </c>
      <c r="G175" s="3" t="n">
        <v>400</v>
      </c>
    </row>
    <row r="176">
      <c r="B176" s="1" t="n">
        <v>45973</v>
      </c>
      <c r="C176" s="1" t="n"/>
      <c r="D176" t="inlineStr">
        <is>
          <t>Withdrawal</t>
        </is>
      </c>
      <c r="F176" s="3" t="n">
        <v>0</v>
      </c>
      <c r="G176" s="3" t="n">
        <v>400</v>
      </c>
    </row>
    <row r="177">
      <c r="B177" s="1" t="n">
        <v>45985</v>
      </c>
      <c r="C177" s="1" t="n"/>
      <c r="D177" t="inlineStr">
        <is>
          <t>Withdrawal</t>
        </is>
      </c>
      <c r="F177" s="3" t="n">
        <v>0</v>
      </c>
      <c r="G177" s="3" t="n">
        <v>400</v>
      </c>
    </row>
    <row r="178">
      <c r="B178" s="1" t="n">
        <v>46008</v>
      </c>
      <c r="C178" s="1" t="n"/>
      <c r="D178" t="inlineStr">
        <is>
          <t>Withdrawal</t>
        </is>
      </c>
      <c r="F178" s="3" t="n">
        <v>0</v>
      </c>
      <c r="G178" s="3" t="n">
        <v>400</v>
      </c>
    </row>
    <row r="179">
      <c r="B179" s="1" t="n">
        <v>46022</v>
      </c>
      <c r="C179" s="1" t="n"/>
      <c r="D179" t="inlineStr">
        <is>
          <t>Withdrawal</t>
        </is>
      </c>
      <c r="F179" s="3" t="n">
        <v>0</v>
      </c>
      <c r="G179" s="3" t="n">
        <v>3000</v>
      </c>
    </row>
    <row r="180">
      <c r="B180" s="1" t="n">
        <v>45975</v>
      </c>
      <c r="C180" s="1" t="n"/>
      <c r="D180" t="inlineStr">
        <is>
          <t>Withdrawal by Wire Outgoing Wire 38641 BIDADOO, INC. JPMCHASE</t>
        </is>
      </c>
      <c r="F180" s="3" t="n">
        <v>0</v>
      </c>
      <c r="G180" s="3" t="n">
        <v>40025.2</v>
      </c>
    </row>
    <row r="181">
      <c r="B181" s="1" t="n">
        <v>46008</v>
      </c>
      <c r="C181" s="1" t="n"/>
      <c r="D181" t="inlineStr">
        <is>
          <t>Withdrawal Starter Checks</t>
        </is>
      </c>
      <c r="F181" s="3" t="n">
        <v>0</v>
      </c>
      <c r="G181" s="3" t="n">
        <v>3</v>
      </c>
    </row>
    <row r="182">
      <c r="B182" s="1" t="n">
        <v>45940</v>
      </c>
      <c r="C182" s="1" t="n"/>
      <c r="D182" t="inlineStr">
        <is>
          <t>Withdrawal Starter Checks</t>
        </is>
      </c>
      <c r="F182" s="3" t="n">
        <v>0</v>
      </c>
      <c r="G182" s="3" t="n">
        <v>6</v>
      </c>
    </row>
    <row r="183">
      <c r="B183" s="1" t="n">
        <v>45985</v>
      </c>
      <c r="C183" s="1" t="n"/>
      <c r="D183" t="inlineStr">
        <is>
          <t>Withdrawal Starter Checks</t>
        </is>
      </c>
      <c r="F183" s="3" t="n">
        <v>0</v>
      </c>
      <c r="G183" s="3" t="n">
        <v>6</v>
      </c>
    </row>
    <row r="184">
      <c r="B184" s="1" t="n">
        <v>46006</v>
      </c>
      <c r="C184" s="1" t="n"/>
      <c r="D184" t="inlineStr">
        <is>
          <t>Withdrawal Stop Payment Fee</t>
        </is>
      </c>
      <c r="F184" s="3" t="n">
        <v>0</v>
      </c>
      <c r="G184" s="3" t="n">
        <v>29</v>
      </c>
    </row>
    <row r="185">
      <c r="B185" s="1" t="n">
        <v>45975</v>
      </c>
      <c r="C185" s="1" t="n"/>
      <c r="D185" t="inlineStr">
        <is>
          <t>Withdrawal Wire Fee 38641</t>
        </is>
      </c>
      <c r="F185" s="3" t="n">
        <v>0</v>
      </c>
      <c r="G185" s="3" t="n">
        <v>25</v>
      </c>
    </row>
    <row r="186">
      <c r="B186" s="1" t="n">
        <v>46013</v>
      </c>
      <c r="C186" s="1" t="n"/>
      <c r="D186" t="inlineStr">
        <is>
          <t>YOGURTLAND TERR 10798 FOOTHILL BLVD SUI RANCHO CUCAMO CA Date 12/21/25 9.00 0004100039 0.00 5814.00</t>
        </is>
      </c>
      <c r="F186" s="3" t="n">
        <v>0</v>
      </c>
      <c r="G186" s="3" t="n">
        <v>17.54</v>
      </c>
    </row>
    <row r="187">
      <c r="B187" s="1" t="n"/>
      <c r="C187" s="1" t="n"/>
    </row>
    <row r="188">
      <c r="B188" s="1" t="n">
        <v>45960</v>
      </c>
      <c r="C188" s="1" t="n"/>
      <c r="D188" t="inlineStr">
        <is>
          <t>GUSTO TYPE: REM</t>
        </is>
      </c>
      <c r="F188" s="3" t="n">
        <v>0</v>
      </c>
      <c r="G188" s="3" t="n">
        <v>1077.08</v>
      </c>
    </row>
    <row r="189">
      <c r="B189" s="1" t="n">
        <v>45964</v>
      </c>
      <c r="C189" s="1" t="n"/>
      <c r="D189" t="inlineStr">
        <is>
          <t>GUSTO TYPE: REM</t>
        </is>
      </c>
      <c r="F189" s="3" t="n">
        <v>0</v>
      </c>
      <c r="G189" s="3" t="n">
        <v>1000</v>
      </c>
    </row>
    <row r="190">
      <c r="B190" s="1" t="n">
        <v>45964</v>
      </c>
      <c r="C190" s="1" t="n"/>
      <c r="D190" t="inlineStr">
        <is>
          <t>GUSTO TYPE: REM</t>
        </is>
      </c>
      <c r="F190" s="3" t="n">
        <v>0</v>
      </c>
      <c r="G190" s="3" t="n">
        <v>3000</v>
      </c>
    </row>
    <row r="191">
      <c r="B191" s="1" t="n">
        <v>45989</v>
      </c>
      <c r="C191" s="1" t="n"/>
      <c r="D191" t="inlineStr">
        <is>
          <t>GUSTO TYPE: REM</t>
        </is>
      </c>
      <c r="F191" s="3" t="n">
        <v>0</v>
      </c>
      <c r="G191" s="3" t="n">
        <v>5886.48</v>
      </c>
    </row>
    <row r="192">
      <c r="B192" s="1" t="n">
        <v>46021</v>
      </c>
      <c r="C192" s="1" t="n"/>
      <c r="D192" t="inlineStr">
        <is>
          <t>GUSTO TYPE: REM</t>
        </is>
      </c>
      <c r="F192" s="3" t="n">
        <v>0</v>
      </c>
      <c r="G192" s="3" t="n">
        <v>4480.88</v>
      </c>
    </row>
    <row r="193">
      <c r="B193" s="1" t="n">
        <v>45940</v>
      </c>
      <c r="C193" s="1" t="n"/>
      <c r="D193" t="inlineStr">
        <is>
          <t>GUSTO TYPE: REM</t>
        </is>
      </c>
      <c r="F193" s="3" t="n">
        <v>0</v>
      </c>
      <c r="G193" s="3" t="n">
        <v>27.5</v>
      </c>
    </row>
    <row r="194">
      <c r="B194" s="1" t="n">
        <v>45944</v>
      </c>
      <c r="C194" s="1" t="n"/>
      <c r="D194" t="inlineStr">
        <is>
          <t>GUSTO TYPE: REM</t>
        </is>
      </c>
      <c r="F194" s="3" t="n">
        <v>0</v>
      </c>
      <c r="G194" s="3" t="n">
        <v>6724.83</v>
      </c>
    </row>
    <row r="195">
      <c r="B195" s="1" t="n">
        <v>45974</v>
      </c>
      <c r="C195" s="1" t="n"/>
      <c r="D195" t="inlineStr">
        <is>
          <t>GUSTO TYPE: REM</t>
        </is>
      </c>
      <c r="F195" s="3" t="n">
        <v>0</v>
      </c>
      <c r="G195" s="3" t="n">
        <v>6807.91</v>
      </c>
    </row>
    <row r="196">
      <c r="B196" s="1" t="n">
        <v>45952</v>
      </c>
      <c r="C196" s="1" t="n"/>
      <c r="D196" t="inlineStr">
        <is>
          <t>GUSTO TYPE: REM</t>
        </is>
      </c>
      <c r="F196" s="3" t="n">
        <v>0</v>
      </c>
      <c r="G196" s="3" t="n">
        <v>35</v>
      </c>
    </row>
    <row r="197">
      <c r="B197" s="1" t="n">
        <v>46003</v>
      </c>
      <c r="C197" s="1" t="n"/>
      <c r="D197" t="inlineStr">
        <is>
          <t>GUSTO TYPE: REM</t>
        </is>
      </c>
      <c r="F197" s="3" t="n">
        <v>0</v>
      </c>
      <c r="G197" s="3" t="n">
        <v>13691</v>
      </c>
    </row>
    <row r="198">
      <c r="B198" s="1" t="n">
        <v>45933</v>
      </c>
      <c r="C198" s="1" t="n"/>
      <c r="D198" t="inlineStr">
        <is>
          <t>GUSTO TYPE: FEE</t>
        </is>
      </c>
      <c r="F198" s="3" t="n">
        <v>0</v>
      </c>
      <c r="G198" s="3" t="n">
        <v>913</v>
      </c>
    </row>
    <row r="199">
      <c r="B199" s="1" t="n">
        <v>45966</v>
      </c>
      <c r="C199" s="1" t="n"/>
      <c r="D199" t="inlineStr">
        <is>
          <t>GUSTO TYPE: FEE</t>
        </is>
      </c>
      <c r="F199" s="3" t="n">
        <v>0</v>
      </c>
      <c r="G199" s="3" t="n">
        <v>907</v>
      </c>
    </row>
    <row r="200">
      <c r="B200" s="1" t="n">
        <v>45994</v>
      </c>
      <c r="C200" s="1" t="n"/>
      <c r="D200" t="inlineStr">
        <is>
          <t>GUSTO TYPE: FEE</t>
        </is>
      </c>
      <c r="F200" s="3" t="n">
        <v>0</v>
      </c>
      <c r="G200" s="3" t="n">
        <v>835</v>
      </c>
    </row>
    <row r="201">
      <c r="B201" s="1" t="n"/>
      <c r="C201" s="1" t="n"/>
    </row>
    <row r="202">
      <c r="B202" s="1" t="n"/>
      <c r="C202" s="1" t="n"/>
    </row>
    <row r="203">
      <c r="B203" s="1" t="n">
        <v>45944</v>
      </c>
      <c r="C203" s="1" t="n"/>
      <c r="D203" t="inlineStr">
        <is>
          <t>GUSTO</t>
        </is>
      </c>
      <c r="F203" s="3" t="n">
        <v>0</v>
      </c>
      <c r="G203" s="3" t="n">
        <v>615</v>
      </c>
    </row>
    <row r="204">
      <c r="B204" s="1" t="n">
        <v>45960</v>
      </c>
      <c r="C204" s="1" t="n"/>
      <c r="D204" t="inlineStr">
        <is>
          <t>GUSTO TYPE: CND</t>
        </is>
      </c>
      <c r="F204" s="3" t="n">
        <v>0</v>
      </c>
      <c r="G204" s="3" t="n">
        <v>1219.8</v>
      </c>
    </row>
    <row r="205">
      <c r="B205" s="1" t="n">
        <v>45960</v>
      </c>
      <c r="C205" s="1" t="n"/>
      <c r="D205" t="inlineStr">
        <is>
          <t>GUSTO TYPE: CND</t>
        </is>
      </c>
      <c r="F205" s="3" t="n">
        <v>0</v>
      </c>
      <c r="G205" s="3" t="n">
        <v>745</v>
      </c>
    </row>
    <row r="206">
      <c r="B206" s="1" t="n">
        <v>45960</v>
      </c>
      <c r="C206" s="1" t="n"/>
      <c r="D206" t="inlineStr">
        <is>
          <t>GUSTO TYPE: CND</t>
        </is>
      </c>
      <c r="F206" s="3" t="n">
        <v>0</v>
      </c>
      <c r="G206" s="3" t="n">
        <v>1625</v>
      </c>
    </row>
    <row r="207">
      <c r="B207" s="1" t="n">
        <v>45960</v>
      </c>
      <c r="C207" s="1" t="n"/>
      <c r="D207" t="inlineStr">
        <is>
          <t>GUSTO TYPE: CND</t>
        </is>
      </c>
      <c r="F207" s="3" t="n">
        <v>0</v>
      </c>
      <c r="G207" s="3" t="n">
        <v>5104</v>
      </c>
    </row>
    <row r="208">
      <c r="B208" s="1" t="n">
        <v>45960</v>
      </c>
      <c r="C208" s="1" t="n"/>
      <c r="D208" t="inlineStr">
        <is>
          <t>GUSTO TYPE: CND</t>
        </is>
      </c>
      <c r="F208" s="3" t="n">
        <v>0</v>
      </c>
      <c r="G208" s="3" t="n">
        <v>5265</v>
      </c>
    </row>
    <row r="209">
      <c r="B209" s="1" t="n">
        <v>45960</v>
      </c>
      <c r="C209" s="1" t="n"/>
      <c r="D209" t="inlineStr">
        <is>
          <t>GUSTO TYPE: CND</t>
        </is>
      </c>
      <c r="F209" s="3" t="n">
        <v>0</v>
      </c>
      <c r="G209" s="3" t="n">
        <v>6660</v>
      </c>
    </row>
    <row r="210">
      <c r="B210" s="1" t="n">
        <v>45989</v>
      </c>
      <c r="C210" s="1" t="n"/>
      <c r="D210" t="inlineStr">
        <is>
          <t>GUSTO TYPE: CND</t>
        </is>
      </c>
      <c r="F210" s="3" t="n">
        <v>0</v>
      </c>
      <c r="G210" s="3" t="n">
        <v>710.2</v>
      </c>
    </row>
    <row r="211">
      <c r="B211" s="1" t="n">
        <v>45989</v>
      </c>
      <c r="C211" s="1" t="n"/>
      <c r="D211" t="inlineStr">
        <is>
          <t>GUSTO TYPE: CND</t>
        </is>
      </c>
      <c r="F211" s="3" t="n">
        <v>0</v>
      </c>
      <c r="G211" s="3" t="n">
        <v>840</v>
      </c>
    </row>
    <row r="212">
      <c r="B212" s="1" t="n">
        <v>45989</v>
      </c>
      <c r="C212" s="1" t="n"/>
      <c r="D212" t="inlineStr">
        <is>
          <t>GUSTO TYPE: CND</t>
        </is>
      </c>
      <c r="F212" s="3" t="n">
        <v>0</v>
      </c>
      <c r="G212" s="3" t="n">
        <v>1775</v>
      </c>
    </row>
    <row r="213">
      <c r="B213" s="1" t="n">
        <v>45989</v>
      </c>
      <c r="C213" s="1" t="n"/>
      <c r="D213" t="inlineStr">
        <is>
          <t>GUSTO TYPE: CND</t>
        </is>
      </c>
      <c r="F213" s="3" t="n">
        <v>0</v>
      </c>
      <c r="G213" s="3" t="n">
        <v>4614</v>
      </c>
    </row>
    <row r="214">
      <c r="B214" s="1" t="n">
        <v>45989</v>
      </c>
      <c r="C214" s="1" t="n"/>
      <c r="D214" t="inlineStr">
        <is>
          <t>GUSTO TYPE: CND</t>
        </is>
      </c>
      <c r="F214" s="3" t="n">
        <v>0</v>
      </c>
      <c r="G214" s="3" t="n">
        <v>4976.25</v>
      </c>
    </row>
    <row r="215">
      <c r="B215" s="1" t="n">
        <v>45989</v>
      </c>
      <c r="C215" s="1" t="n"/>
      <c r="D215" t="inlineStr">
        <is>
          <t>GUSTO TYPE: CND</t>
        </is>
      </c>
      <c r="F215" s="3" t="n">
        <v>0</v>
      </c>
      <c r="G215" s="3" t="n">
        <v>6270</v>
      </c>
    </row>
    <row r="216">
      <c r="B216" s="1" t="n">
        <v>46021</v>
      </c>
      <c r="C216" s="1" t="n"/>
      <c r="D216" t="inlineStr">
        <is>
          <t>GUSTO TYPE: CND</t>
        </is>
      </c>
      <c r="F216" s="3" t="n">
        <v>0</v>
      </c>
      <c r="G216" s="3" t="n">
        <v>1525.63</v>
      </c>
    </row>
    <row r="217">
      <c r="B217" s="1" t="n">
        <v>46021</v>
      </c>
      <c r="C217" s="1" t="n"/>
      <c r="D217" t="inlineStr">
        <is>
          <t>GUSTO TYPE: CND</t>
        </is>
      </c>
      <c r="F217" s="3" t="n">
        <v>0</v>
      </c>
      <c r="G217" s="3" t="n">
        <v>1625</v>
      </c>
    </row>
    <row r="218">
      <c r="B218" s="1" t="n">
        <v>46021</v>
      </c>
      <c r="C218" s="1" t="n"/>
      <c r="D218" t="inlineStr">
        <is>
          <t>GUSTO TYPE: CND</t>
        </is>
      </c>
      <c r="F218" s="3" t="n">
        <v>0</v>
      </c>
      <c r="G218" s="3" t="n">
        <v>2050.2</v>
      </c>
    </row>
    <row r="219">
      <c r="B219" s="1" t="n">
        <v>46021</v>
      </c>
      <c r="C219" s="1" t="n"/>
      <c r="D219" t="inlineStr">
        <is>
          <t>GUSTO TYPE: CND</t>
        </is>
      </c>
      <c r="F219" s="3" t="n">
        <v>0</v>
      </c>
      <c r="G219" s="3" t="n">
        <v>2970</v>
      </c>
    </row>
    <row r="220">
      <c r="B220" s="1" t="n">
        <v>46021</v>
      </c>
      <c r="C220" s="1" t="n"/>
      <c r="D220" t="inlineStr">
        <is>
          <t>GUSTO TYPE: CND</t>
        </is>
      </c>
      <c r="F220" s="3" t="n">
        <v>0</v>
      </c>
      <c r="G220" s="3" t="n">
        <v>4480</v>
      </c>
    </row>
    <row r="221">
      <c r="B221" s="1" t="n">
        <v>46021</v>
      </c>
      <c r="C221" s="1" t="n"/>
      <c r="D221" t="inlineStr">
        <is>
          <t>GUSTO TYPE: CND</t>
        </is>
      </c>
      <c r="F221" s="3" t="n">
        <v>0</v>
      </c>
      <c r="G221" s="3" t="n">
        <v>6390</v>
      </c>
    </row>
    <row r="222">
      <c r="B222" s="1" t="n">
        <v>45944</v>
      </c>
      <c r="C222" s="1" t="n"/>
      <c r="D222" t="inlineStr">
        <is>
          <t>GUSTO TYPE: CND</t>
        </is>
      </c>
      <c r="F222" s="3" t="n">
        <v>0</v>
      </c>
      <c r="G222" s="3" t="n">
        <v>974.38</v>
      </c>
    </row>
    <row r="223">
      <c r="B223" s="1" t="n">
        <v>45944</v>
      </c>
      <c r="C223" s="1" t="n"/>
      <c r="D223" t="inlineStr">
        <is>
          <t>GUSTO TYPE: CND</t>
        </is>
      </c>
      <c r="F223" s="3" t="n">
        <v>0</v>
      </c>
      <c r="G223" s="3" t="n">
        <v>1625</v>
      </c>
    </row>
    <row r="224">
      <c r="B224" s="1" t="n">
        <v>45944</v>
      </c>
      <c r="C224" s="1" t="n"/>
      <c r="D224" t="inlineStr">
        <is>
          <t>GUSTO TYPE: CND</t>
        </is>
      </c>
      <c r="F224" s="3" t="n">
        <v>0</v>
      </c>
      <c r="G224" s="3" t="n">
        <v>4266</v>
      </c>
    </row>
    <row r="225">
      <c r="B225" s="1" t="n">
        <v>45944</v>
      </c>
      <c r="C225" s="1" t="n"/>
      <c r="D225" t="inlineStr">
        <is>
          <t>GUSTO TYPE: CND</t>
        </is>
      </c>
      <c r="F225" s="3" t="n">
        <v>0</v>
      </c>
      <c r="G225" s="3" t="n">
        <v>4800</v>
      </c>
    </row>
    <row r="226">
      <c r="B226" s="1" t="n">
        <v>45944</v>
      </c>
      <c r="C226" s="1" t="n"/>
      <c r="D226" t="inlineStr">
        <is>
          <t>GUSTO TYPE: CND</t>
        </is>
      </c>
      <c r="F226" s="3" t="n">
        <v>0</v>
      </c>
      <c r="G226" s="3" t="n">
        <v>3510</v>
      </c>
    </row>
    <row r="227">
      <c r="B227" s="1" t="n">
        <v>45974</v>
      </c>
      <c r="C227" s="1" t="n"/>
      <c r="D227" t="inlineStr">
        <is>
          <t>GUSTO TYPE: CND</t>
        </is>
      </c>
      <c r="F227" s="3" t="n">
        <v>0</v>
      </c>
      <c r="G227" s="3" t="n">
        <v>620.4</v>
      </c>
    </row>
    <row r="228">
      <c r="B228" s="1" t="n">
        <v>45974</v>
      </c>
      <c r="C228" s="1" t="n"/>
      <c r="D228" t="inlineStr">
        <is>
          <t>GUSTO TYPE: CND</t>
        </is>
      </c>
      <c r="F228" s="3" t="n">
        <v>0</v>
      </c>
      <c r="G228" s="3" t="n">
        <v>1093.75</v>
      </c>
    </row>
    <row r="229">
      <c r="B229" s="1" t="n">
        <v>45974</v>
      </c>
      <c r="C229" s="1" t="n"/>
      <c r="D229" t="inlineStr">
        <is>
          <t>GUSTO TYPE: CND</t>
        </is>
      </c>
      <c r="F229" s="3" t="n">
        <v>0</v>
      </c>
      <c r="G229" s="3" t="n">
        <v>1625</v>
      </c>
    </row>
    <row r="230">
      <c r="B230" s="1" t="n">
        <v>45974</v>
      </c>
      <c r="C230" s="1" t="n"/>
      <c r="D230" t="inlineStr">
        <is>
          <t>GUSTO TYPE: CND</t>
        </is>
      </c>
      <c r="F230" s="3" t="n">
        <v>0</v>
      </c>
      <c r="G230" s="3" t="n">
        <v>4202</v>
      </c>
    </row>
    <row r="231">
      <c r="B231" s="1" t="n">
        <v>45974</v>
      </c>
      <c r="C231" s="1" t="n"/>
      <c r="D231" t="inlineStr">
        <is>
          <t>GUSTO TYPE: CND</t>
        </is>
      </c>
      <c r="F231" s="3" t="n">
        <v>0</v>
      </c>
      <c r="G231" s="3" t="n">
        <v>4758.75</v>
      </c>
    </row>
    <row r="232">
      <c r="B232" s="1" t="n">
        <v>45974</v>
      </c>
      <c r="C232" s="1" t="n"/>
      <c r="D232" t="inlineStr">
        <is>
          <t>GUSTO TYPE: CND</t>
        </is>
      </c>
      <c r="F232" s="3" t="n">
        <v>0</v>
      </c>
      <c r="G232" s="3" t="n">
        <v>5340</v>
      </c>
    </row>
    <row r="233">
      <c r="B233" s="1" t="n">
        <v>46003</v>
      </c>
      <c r="C233" s="1" t="n"/>
      <c r="D233" t="inlineStr">
        <is>
          <t>GUSTO TYPE: CND</t>
        </is>
      </c>
      <c r="F233" s="3" t="n">
        <v>0</v>
      </c>
      <c r="G233" s="3" t="n">
        <v>1195.63</v>
      </c>
    </row>
    <row r="234">
      <c r="B234" s="1" t="n">
        <v>46003</v>
      </c>
      <c r="C234" s="1" t="n"/>
      <c r="D234" t="inlineStr">
        <is>
          <t>GUSTO TYPE: CND</t>
        </is>
      </c>
      <c r="F234" s="3" t="n">
        <v>0</v>
      </c>
      <c r="G234" s="3" t="n">
        <v>1470.2</v>
      </c>
    </row>
    <row r="235">
      <c r="B235" s="1" t="n">
        <v>46003</v>
      </c>
      <c r="C235" s="1" t="n"/>
      <c r="D235" t="inlineStr">
        <is>
          <t>GUSTO TYPE: CND</t>
        </is>
      </c>
      <c r="F235" s="3" t="n">
        <v>0</v>
      </c>
      <c r="G235" s="3" t="n">
        <v>1625</v>
      </c>
    </row>
    <row r="236">
      <c r="B236" s="1" t="n">
        <v>46003</v>
      </c>
      <c r="C236" s="1" t="n"/>
      <c r="D236" t="inlineStr">
        <is>
          <t>GUSTO TYPE: CND</t>
        </is>
      </c>
      <c r="F236" s="3" t="n">
        <v>0</v>
      </c>
      <c r="G236" s="3" t="n">
        <v>3475</v>
      </c>
    </row>
    <row r="237">
      <c r="B237" s="1" t="n">
        <v>46003</v>
      </c>
      <c r="C237" s="1" t="n"/>
      <c r="D237" t="inlineStr">
        <is>
          <t>GUSTO TYPE: CND</t>
        </is>
      </c>
      <c r="F237" s="3" t="n">
        <v>0</v>
      </c>
      <c r="G237" s="3" t="n">
        <v>4462</v>
      </c>
    </row>
    <row r="238">
      <c r="B238" s="1" t="n">
        <v>46003</v>
      </c>
      <c r="C238" s="1" t="n"/>
      <c r="D238" t="inlineStr">
        <is>
          <t>GUSTO TYPE: CND</t>
        </is>
      </c>
      <c r="F238" s="3" t="n">
        <v>0</v>
      </c>
      <c r="G238" s="3" t="n">
        <v>5200</v>
      </c>
    </row>
    <row r="242">
      <c r="B242" s="1" t="n"/>
      <c r="C242" s="1" t="n"/>
    </row>
    <row r="243">
      <c r="B243" s="1" t="n"/>
      <c r="C243" s="1" t="n"/>
    </row>
    <row r="244">
      <c r="B244" s="1" t="n"/>
      <c r="C244" s="1" t="n"/>
    </row>
    <row r="245">
      <c r="B245" s="1" t="n">
        <v>45980</v>
      </c>
      <c r="C245" s="1" t="n"/>
      <c r="D245" t="inlineStr">
        <is>
          <t>GUSTO TYPE: NET</t>
        </is>
      </c>
      <c r="F245" s="3" t="n">
        <v>0</v>
      </c>
      <c r="G245" s="3" t="n">
        <v>114.6</v>
      </c>
    </row>
    <row r="246">
      <c r="B246" s="1" t="n">
        <v>45980</v>
      </c>
      <c r="C246" s="1" t="n"/>
      <c r="D246" t="inlineStr">
        <is>
          <t>GUSTO TYPE: NET</t>
        </is>
      </c>
      <c r="F246" s="3" t="n">
        <v>0</v>
      </c>
      <c r="G246" s="3" t="n">
        <v>736.8</v>
      </c>
    </row>
    <row r="247">
      <c r="B247" s="1" t="n">
        <v>46007</v>
      </c>
      <c r="C247" s="1" t="n"/>
      <c r="D247" t="inlineStr">
        <is>
          <t>GUSTO TYPE: NET</t>
        </is>
      </c>
      <c r="F247" s="3" t="n">
        <v>0</v>
      </c>
      <c r="G247" s="3" t="n">
        <v>948.58</v>
      </c>
    </row>
    <row r="248">
      <c r="B248" s="1" t="n">
        <v>45932</v>
      </c>
      <c r="C248" s="1" t="n"/>
      <c r="D248" t="inlineStr">
        <is>
          <t>GUSTO TYPE: NET</t>
        </is>
      </c>
      <c r="F248" s="3" t="n">
        <v>0</v>
      </c>
      <c r="G248" s="3" t="n">
        <v>717.64</v>
      </c>
    </row>
    <row r="249">
      <c r="B249" s="1" t="n">
        <v>45960</v>
      </c>
      <c r="C249" s="1" t="n"/>
      <c r="D249" t="inlineStr">
        <is>
          <t>GUSTO TYPE: NET</t>
        </is>
      </c>
      <c r="F249" s="3" t="n">
        <v>0</v>
      </c>
      <c r="G249" s="3" t="n">
        <v>741.73</v>
      </c>
    </row>
    <row r="250">
      <c r="B250" s="1" t="n">
        <v>45960</v>
      </c>
      <c r="C250" s="1" t="n"/>
      <c r="D250" t="inlineStr">
        <is>
          <t>GUSTO TYPE: NET</t>
        </is>
      </c>
      <c r="F250" s="3" t="n">
        <v>0</v>
      </c>
      <c r="G250" s="3" t="n">
        <v>108094.51</v>
      </c>
    </row>
    <row r="251">
      <c r="B251" s="1" t="n">
        <v>45989</v>
      </c>
      <c r="C251" s="1" t="n"/>
      <c r="D251" t="inlineStr">
        <is>
          <t>GUSTO TYPE: NET</t>
        </is>
      </c>
      <c r="F251" s="3" t="n">
        <v>0</v>
      </c>
      <c r="G251" s="3" t="n">
        <v>94370.58</v>
      </c>
    </row>
    <row r="252">
      <c r="B252" s="1" t="n">
        <v>46021</v>
      </c>
      <c r="C252" s="1" t="n"/>
      <c r="D252" t="inlineStr">
        <is>
          <t>GUSTO TYPE: NET</t>
        </is>
      </c>
      <c r="F252" s="3" t="n">
        <v>0</v>
      </c>
      <c r="G252" s="3" t="n">
        <v>255.25</v>
      </c>
    </row>
    <row r="253">
      <c r="B253" s="1" t="n">
        <v>46021</v>
      </c>
      <c r="C253" s="1" t="n"/>
      <c r="D253" t="inlineStr">
        <is>
          <t>GUSTO TYPE: NET</t>
        </is>
      </c>
      <c r="F253" s="3" t="n">
        <v>0</v>
      </c>
      <c r="G253" s="3" t="n">
        <v>104413.76</v>
      </c>
    </row>
    <row r="254">
      <c r="B254" s="1" t="n">
        <v>45940</v>
      </c>
      <c r="C254" s="1" t="n"/>
      <c r="D254" t="inlineStr">
        <is>
          <t>GUSTO TYPE: NET</t>
        </is>
      </c>
      <c r="F254" s="3" t="n">
        <v>0</v>
      </c>
      <c r="G254" s="3" t="n">
        <v>1544.58</v>
      </c>
    </row>
    <row r="255">
      <c r="B255" s="1" t="n">
        <v>45993</v>
      </c>
      <c r="C255" s="1" t="n"/>
      <c r="D255" t="inlineStr">
        <is>
          <t>GUSTO TYPE: NET</t>
        </is>
      </c>
      <c r="F255" s="3" t="n">
        <v>0</v>
      </c>
      <c r="G255" s="3" t="n">
        <v>694.03</v>
      </c>
    </row>
    <row r="256">
      <c r="B256" s="1" t="n">
        <v>45944</v>
      </c>
      <c r="C256" s="1" t="n"/>
      <c r="D256" t="inlineStr">
        <is>
          <t>GUSTO TYPE: NET</t>
        </is>
      </c>
      <c r="F256" s="3" t="n">
        <v>0</v>
      </c>
      <c r="G256" s="3" t="n">
        <v>84337.58</v>
      </c>
    </row>
    <row r="257">
      <c r="B257" s="1" t="n">
        <v>45994</v>
      </c>
      <c r="C257" s="1" t="n"/>
      <c r="D257" t="inlineStr">
        <is>
          <t>GUSTO TYPE: NET</t>
        </is>
      </c>
      <c r="F257" s="3" t="n">
        <v>0</v>
      </c>
      <c r="G257" s="3" t="n">
        <v>65.62</v>
      </c>
    </row>
    <row r="258">
      <c r="B258" s="1" t="n">
        <v>45946</v>
      </c>
      <c r="C258" s="1" t="n"/>
      <c r="D258" t="inlineStr">
        <is>
          <t>GUSTO TYPE: NET</t>
        </is>
      </c>
      <c r="F258" s="3" t="n">
        <v>0</v>
      </c>
      <c r="G258" s="3" t="n">
        <v>2460.39</v>
      </c>
    </row>
    <row r="259">
      <c r="B259" s="1" t="n">
        <v>45946</v>
      </c>
      <c r="C259" s="1" t="n"/>
      <c r="D259" t="inlineStr">
        <is>
          <t>GUSTO TYPE: NET</t>
        </is>
      </c>
      <c r="F259" s="3" t="n">
        <v>0</v>
      </c>
      <c r="G259" s="3" t="n">
        <v>279.18</v>
      </c>
    </row>
    <row r="260">
      <c r="B260" s="1" t="n">
        <v>45974</v>
      </c>
      <c r="C260" s="1" t="n"/>
      <c r="D260" t="inlineStr">
        <is>
          <t>GUSTO TYPE: NET</t>
        </is>
      </c>
      <c r="F260" s="3" t="n">
        <v>0</v>
      </c>
      <c r="G260" s="3" t="n">
        <v>84583.39</v>
      </c>
    </row>
    <row r="261">
      <c r="B261" s="1" t="n">
        <v>45951</v>
      </c>
      <c r="C261" s="1" t="n"/>
      <c r="D261" t="inlineStr">
        <is>
          <t>GUSTO TYPE: NET</t>
        </is>
      </c>
      <c r="F261" s="3" t="n">
        <v>0</v>
      </c>
      <c r="G261" s="3" t="n">
        <v>318.65</v>
      </c>
    </row>
    <row r="262">
      <c r="B262" s="1" t="n">
        <v>45952</v>
      </c>
      <c r="C262" s="1" t="n"/>
      <c r="D262" t="inlineStr">
        <is>
          <t>GUSTO TYPE: NET</t>
        </is>
      </c>
      <c r="F262" s="3" t="n">
        <v>0</v>
      </c>
      <c r="G262" s="3" t="n">
        <v>570.64</v>
      </c>
    </row>
    <row r="263">
      <c r="B263" s="1" t="n">
        <v>46003</v>
      </c>
      <c r="C263" s="1" t="n"/>
      <c r="D263" t="inlineStr">
        <is>
          <t>GUSTO TYPE: NET</t>
        </is>
      </c>
      <c r="F263" s="3" t="n">
        <v>0</v>
      </c>
      <c r="G263" s="3" t="n">
        <v>86233.3</v>
      </c>
    </row>
    <row r="265">
      <c r="B265" s="1" t="n">
        <v>45980</v>
      </c>
      <c r="C265" s="1" t="n"/>
      <c r="D265" t="inlineStr">
        <is>
          <t>GUSTO TYPE: TAX</t>
        </is>
      </c>
      <c r="F265" s="3" t="n">
        <v>0</v>
      </c>
      <c r="G265" s="3" t="n">
        <v>21.44</v>
      </c>
    </row>
    <row r="266">
      <c r="B266" s="1" t="n">
        <v>45980</v>
      </c>
      <c r="C266" s="1" t="n"/>
      <c r="D266" t="inlineStr">
        <is>
          <t>GUSTO TYPE: TAX</t>
        </is>
      </c>
      <c r="F266" s="3" t="n">
        <v>0</v>
      </c>
      <c r="G266" s="3" t="n">
        <v>139.9</v>
      </c>
    </row>
    <row r="267">
      <c r="B267" s="1" t="n">
        <v>45954</v>
      </c>
      <c r="C267" s="1" t="n"/>
      <c r="D267" t="inlineStr">
        <is>
          <t>GUSTO TYPE: TAX</t>
        </is>
      </c>
      <c r="F267" s="3" t="n">
        <v>0</v>
      </c>
      <c r="G267" s="3" t="n">
        <v>260.76</v>
      </c>
    </row>
    <row r="268">
      <c r="B268" s="1" t="n">
        <v>46007</v>
      </c>
      <c r="C268" s="1" t="n"/>
      <c r="D268" t="inlineStr">
        <is>
          <t>GUSTO TYPE: TAX</t>
        </is>
      </c>
      <c r="F268" s="3" t="n">
        <v>0</v>
      </c>
      <c r="G268" s="3" t="n">
        <v>208.42</v>
      </c>
    </row>
    <row r="269">
      <c r="B269" s="1" t="n">
        <v>45932</v>
      </c>
      <c r="C269" s="1" t="n"/>
      <c r="D269" t="inlineStr">
        <is>
          <t>GUSTO TYPE: TAX</t>
        </is>
      </c>
      <c r="F269" s="3" t="n">
        <v>0</v>
      </c>
      <c r="G269" s="3" t="n">
        <v>152.72</v>
      </c>
    </row>
    <row r="270">
      <c r="B270" s="1" t="n">
        <v>45960</v>
      </c>
      <c r="C270" s="1" t="n"/>
      <c r="D270" t="inlineStr">
        <is>
          <t>GUSTO TYPE: TAX</t>
        </is>
      </c>
      <c r="F270" s="3" t="n">
        <v>0</v>
      </c>
      <c r="G270" s="3" t="n">
        <v>36899.25</v>
      </c>
    </row>
    <row r="271">
      <c r="B271" s="1" t="n">
        <v>45960</v>
      </c>
      <c r="C271" s="1" t="n"/>
      <c r="D271" t="inlineStr">
        <is>
          <t>GUSTO TYPE: TAX</t>
        </is>
      </c>
      <c r="F271" s="3" t="n">
        <v>0</v>
      </c>
      <c r="G271" s="3" t="n">
        <v>134.27</v>
      </c>
    </row>
    <row r="272">
      <c r="B272" s="1" t="n">
        <v>45989</v>
      </c>
      <c r="C272" s="1" t="n"/>
      <c r="D272" t="inlineStr">
        <is>
          <t>GUSTO TYPE: TAX</t>
        </is>
      </c>
      <c r="F272" s="3" t="n">
        <v>0</v>
      </c>
      <c r="G272" s="3" t="n">
        <v>30377.81</v>
      </c>
    </row>
    <row r="273">
      <c r="B273" s="1" t="n">
        <v>46021</v>
      </c>
      <c r="C273" s="1" t="n"/>
      <c r="D273" t="inlineStr">
        <is>
          <t>GUSTO TYPE: TAX</t>
        </is>
      </c>
      <c r="F273" s="3" t="n">
        <v>0</v>
      </c>
      <c r="G273" s="3" t="n">
        <v>47.79</v>
      </c>
    </row>
    <row r="274">
      <c r="B274" s="1" t="n">
        <v>46021</v>
      </c>
      <c r="C274" s="1" t="n"/>
      <c r="D274" t="inlineStr">
        <is>
          <t>GUSTO TYPE: TAX</t>
        </is>
      </c>
      <c r="F274" s="3" t="n">
        <v>0</v>
      </c>
      <c r="G274" s="3" t="n">
        <v>35094.93</v>
      </c>
    </row>
    <row r="275">
      <c r="B275" s="1" t="n">
        <v>45940</v>
      </c>
      <c r="C275" s="1" t="n"/>
      <c r="D275" t="inlineStr">
        <is>
          <t>GUSTO TYPE: TAX</t>
        </is>
      </c>
      <c r="F275" s="3" t="n">
        <v>0</v>
      </c>
      <c r="G275" s="3" t="n">
        <v>514.15</v>
      </c>
    </row>
    <row r="276">
      <c r="B276" s="1" t="n">
        <v>45993</v>
      </c>
      <c r="C276" s="1" t="n"/>
      <c r="D276" t="inlineStr">
        <is>
          <t>GUSTO TYPE: TAX</t>
        </is>
      </c>
      <c r="F276" s="3" t="n">
        <v>0</v>
      </c>
      <c r="G276" s="3" t="n">
        <v>153.45</v>
      </c>
    </row>
    <row r="277">
      <c r="B277" s="1" t="n">
        <v>45944</v>
      </c>
      <c r="C277" s="1" t="n"/>
      <c r="D277" t="inlineStr">
        <is>
          <t>GUSTO TYPE: TAX</t>
        </is>
      </c>
      <c r="F277" s="3" t="n">
        <v>0</v>
      </c>
      <c r="G277" s="3" t="n">
        <v>26280.81</v>
      </c>
    </row>
    <row r="278">
      <c r="B278" s="1" t="n">
        <v>45994</v>
      </c>
      <c r="C278" s="1" t="n"/>
      <c r="D278" t="inlineStr">
        <is>
          <t>GUSTO TYPE: TAX</t>
        </is>
      </c>
      <c r="F278" s="3" t="n">
        <v>0</v>
      </c>
      <c r="G278" s="3" t="n">
        <v>14.99</v>
      </c>
    </row>
    <row r="279">
      <c r="B279" s="1" t="n">
        <v>45971</v>
      </c>
      <c r="C279" s="1" t="n"/>
      <c r="D279" t="inlineStr">
        <is>
          <t>GUSTO TYPE: TAX</t>
        </is>
      </c>
      <c r="F279" s="3" t="n">
        <v>0</v>
      </c>
      <c r="G279" s="3" t="n">
        <v>176.79</v>
      </c>
    </row>
    <row r="280">
      <c r="B280" s="1" t="n">
        <v>45946</v>
      </c>
      <c r="C280" s="1" t="n"/>
      <c r="D280" t="inlineStr">
        <is>
          <t>GUSTO TYPE: TAX</t>
        </is>
      </c>
      <c r="F280" s="3" t="n">
        <v>0</v>
      </c>
      <c r="G280" s="3" t="n">
        <v>54.11</v>
      </c>
    </row>
    <row r="281">
      <c r="B281" s="1" t="n">
        <v>45946</v>
      </c>
      <c r="C281" s="1" t="n"/>
      <c r="D281" t="inlineStr">
        <is>
          <t>GUSTO TYPE: TAX</t>
        </is>
      </c>
      <c r="F281" s="3" t="n">
        <v>0</v>
      </c>
      <c r="G281" s="3" t="n">
        <v>497.29</v>
      </c>
    </row>
    <row r="282">
      <c r="B282" s="1" t="n">
        <v>45974</v>
      </c>
      <c r="C282" s="1" t="n"/>
      <c r="D282" t="inlineStr">
        <is>
          <t>GUSTO TYPE: TAX</t>
        </is>
      </c>
      <c r="F282" s="3" t="n">
        <v>0</v>
      </c>
      <c r="G282" s="3" t="n">
        <v>26515.26</v>
      </c>
    </row>
    <row r="283">
      <c r="B283" s="1" t="n">
        <v>45951</v>
      </c>
      <c r="C283" s="1" t="n"/>
      <c r="D283" t="inlineStr">
        <is>
          <t>GUSTO TYPE: TAX</t>
        </is>
      </c>
      <c r="F283" s="3" t="n">
        <v>0</v>
      </c>
      <c r="G283" s="3" t="n">
        <v>72.72</v>
      </c>
    </row>
    <row r="284">
      <c r="B284" s="1" t="n">
        <v>45952</v>
      </c>
      <c r="C284" s="1" t="n"/>
      <c r="D284" t="inlineStr">
        <is>
          <t>GUSTO TYPE: TAX</t>
        </is>
      </c>
      <c r="F284" s="3" t="n">
        <v>0</v>
      </c>
      <c r="G284" s="3" t="n">
        <v>105.92</v>
      </c>
    </row>
    <row r="285">
      <c r="B285" s="1" t="n">
        <v>46003</v>
      </c>
      <c r="C285" s="1" t="n"/>
      <c r="D285" t="inlineStr">
        <is>
          <t>GUSTO TYPE: TAX</t>
        </is>
      </c>
      <c r="F285" s="3" t="n">
        <v>0</v>
      </c>
      <c r="G285" s="3" t="n">
        <v>27114.14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Unnamed: 0</t>
        </is>
      </c>
      <c r="B1" s="4" t="inlineStr">
        <is>
          <t>Unnamed: 1</t>
        </is>
      </c>
      <c r="C1" s="4" t="inlineStr">
        <is>
          <t>Unnamed: 2</t>
        </is>
      </c>
      <c r="D1" s="4" t="inlineStr">
        <is>
          <t>Unnamed: 3</t>
        </is>
      </c>
      <c r="E1" s="4" t="inlineStr">
        <is>
          <t>Unnamed: 4</t>
        </is>
      </c>
      <c r="F1" s="4" t="inlineStr">
        <is>
          <t>Unnamed: 5</t>
        </is>
      </c>
      <c r="G1" s="4" t="inlineStr">
        <is>
          <t>Unnamed: 6</t>
        </is>
      </c>
    </row>
    <row r="2">
      <c r="A2" t="inlineStr"/>
      <c r="B2" t="inlineStr"/>
      <c r="C2" t="inlineStr"/>
      <c r="D2" t="inlineStr"/>
      <c r="E2" t="inlineStr">
        <is>
          <t>diff</t>
        </is>
      </c>
      <c r="F2" t="inlineStr">
        <is>
          <t>0</t>
        </is>
      </c>
      <c r="G2" t="n">
        <v>-911406.6000000002</v>
      </c>
    </row>
    <row r="3">
      <c r="A3" t="inlineStr"/>
      <c r="B3" t="inlineStr"/>
      <c r="C3" t="inlineStr"/>
      <c r="D3" t="inlineStr"/>
      <c r="E3" t="inlineStr">
        <is>
          <t>stmt</t>
        </is>
      </c>
      <c r="F3" t="inlineStr">
        <is>
          <t>1461446.12</t>
        </is>
      </c>
      <c r="G3" t="n">
        <v>1371891.34</v>
      </c>
    </row>
    <row r="4">
      <c r="A4" t="inlineStr"/>
      <c r="B4" t="inlineStr"/>
      <c r="C4" t="inlineStr"/>
      <c r="D4" t="inlineStr"/>
      <c r="E4" t="inlineStr">
        <is>
          <t>total</t>
        </is>
      </c>
      <c r="F4" t="inlineStr">
        <is>
          <t>1461446.1199999999</t>
        </is>
      </c>
      <c r="G4" t="n">
        <v>460484.7399999999</v>
      </c>
    </row>
    <row r="5">
      <c r="A5" t="inlineStr"/>
      <c r="B5" t="inlineStr"/>
      <c r="C5" t="inlineStr"/>
      <c r="D5" t="inlineStr"/>
      <c r="E5" t="inlineStr"/>
      <c r="F5" t="inlineStr"/>
      <c r="G5" t="inlineStr"/>
    </row>
    <row r="6">
      <c r="A6" t="inlineStr"/>
      <c r="B6" t="inlineStr">
        <is>
          <t>date</t>
        </is>
      </c>
      <c r="C6" t="inlineStr"/>
      <c r="D6" t="inlineStr">
        <is>
          <t>description</t>
        </is>
      </c>
      <c r="E6" t="inlineStr"/>
      <c r="F6" t="inlineStr">
        <is>
          <t>amount</t>
        </is>
      </c>
      <c r="G6" t="inlineStr"/>
    </row>
    <row r="7">
      <c r="A7" t="inlineStr"/>
      <c r="B7" t="inlineStr">
        <is>
          <t>2025-10-29 00:00:00</t>
        </is>
      </c>
      <c r="C7" t="inlineStr"/>
      <c r="D7" t="inlineStr">
        <is>
          <t>Deposit ACH PNC BANK TYPE: ACCTVERIFY CO: PNC BANK Entry Class Code: PPD</t>
        </is>
      </c>
      <c r="E7" t="inlineStr"/>
      <c r="F7" t="inlineStr">
        <is>
          <t>0.21</t>
        </is>
      </c>
      <c r="G7" t="n">
        <v>0</v>
      </c>
    </row>
    <row r="8">
      <c r="A8" t="inlineStr"/>
      <c r="B8" t="inlineStr">
        <is>
          <t>2025-10-29 00:00:00</t>
        </is>
      </c>
      <c r="C8" t="inlineStr"/>
      <c r="D8" t="inlineStr">
        <is>
          <t>Deposit ACH PNC BANK TYPE: ACCTVERIFY CO: PNC BANK Entry Class Code: PPD</t>
        </is>
      </c>
      <c r="E8" t="inlineStr"/>
      <c r="F8" t="inlineStr">
        <is>
          <t>0.27</t>
        </is>
      </c>
      <c r="G8" t="n">
        <v>0</v>
      </c>
    </row>
    <row r="9">
      <c r="A9" t="inlineStr"/>
      <c r="B9" t="inlineStr">
        <is>
          <t>2025-11-14 00:00:00</t>
        </is>
      </c>
      <c r="C9" t="inlineStr"/>
      <c r="D9" t="inlineStr">
        <is>
          <t>Withdrawal</t>
        </is>
      </c>
      <c r="E9" t="inlineStr"/>
      <c r="F9" t="inlineStr">
        <is>
          <t>25</t>
        </is>
      </c>
      <c r="G9" t="n">
        <v>0</v>
      </c>
    </row>
    <row r="10">
      <c r="A10" t="inlineStr"/>
      <c r="B10" t="inlineStr">
        <is>
          <t>2025-10-31 00:00:00</t>
        </is>
      </c>
      <c r="C10" t="inlineStr"/>
      <c r="D10" t="inlineStr">
        <is>
          <t>Deposit Dividend 0.900% Annual Percentage Yield Earned 0.900% for period 10/01/25 to 10/31/25</t>
        </is>
      </c>
      <c r="E10" t="inlineStr"/>
      <c r="F10" t="inlineStr">
        <is>
          <t>207.03</t>
        </is>
      </c>
      <c r="G10" t="n">
        <v>0</v>
      </c>
    </row>
    <row r="11">
      <c r="A11" t="inlineStr"/>
      <c r="B11" t="inlineStr">
        <is>
          <t>2025-11-30 00:00:00</t>
        </is>
      </c>
      <c r="C11" t="inlineStr"/>
      <c r="D11" t="inlineStr">
        <is>
          <t>Deposit Dividend 0.900% Annual Percentage Yield Earned 0.900% for period 11/01/25 to 11/30/25</t>
        </is>
      </c>
      <c r="E11" t="inlineStr"/>
      <c r="F11" t="inlineStr">
        <is>
          <t>219.02</t>
        </is>
      </c>
      <c r="G11" t="n">
        <v>0</v>
      </c>
    </row>
    <row r="12">
      <c r="A12" t="inlineStr"/>
      <c r="B12" t="inlineStr">
        <is>
          <t>2025-12-30 00:00:00</t>
        </is>
      </c>
      <c r="C12" t="inlineStr"/>
      <c r="D12" t="inlineStr">
        <is>
          <t>Deposit ACH IEHP CLAIMS2 TYPE: CLAIMS CO: IEHP CLAIMS2 Entry Class Code: CCD</t>
        </is>
      </c>
      <c r="E12" t="inlineStr"/>
      <c r="F12" t="inlineStr">
        <is>
          <t>248.22</t>
        </is>
      </c>
      <c r="G12" t="n">
        <v>0</v>
      </c>
    </row>
    <row r="13">
      <c r="A13" t="inlineStr"/>
      <c r="B13" t="inlineStr">
        <is>
          <t>2025-12-31 00:00:00</t>
        </is>
      </c>
      <c r="C13" t="inlineStr"/>
      <c r="D13" t="inlineStr">
        <is>
          <t>Deposit Dividend 0.900% Annual Percentage Yield Earned 0.900% for period 12/01/25 to 12/31/25</t>
        </is>
      </c>
      <c r="E13" t="inlineStr"/>
      <c r="F13" t="inlineStr">
        <is>
          <t>254.57</t>
        </is>
      </c>
      <c r="G13" t="n">
        <v>0</v>
      </c>
    </row>
    <row r="14">
      <c r="A14" t="inlineStr"/>
      <c r="B14" t="inlineStr">
        <is>
          <t>2025-10-14 00:00:00</t>
        </is>
      </c>
      <c r="C14" t="inlineStr"/>
      <c r="D14" t="inlineStr">
        <is>
          <t>Deposit ACH CHASE CREDIT CRD TYPE: RWRD RDM CO: CHASE CREDIT CRD Entry Class Code: PPD</t>
        </is>
      </c>
      <c r="E14" t="inlineStr"/>
      <c r="F14" t="inlineStr">
        <is>
          <t>782.13</t>
        </is>
      </c>
      <c r="G14" t="n">
        <v>0</v>
      </c>
    </row>
    <row r="15">
      <c r="A15" t="inlineStr"/>
      <c r="B15" t="inlineStr">
        <is>
          <t>2025-12-17 00:00:00</t>
        </is>
      </c>
      <c r="C15" t="inlineStr"/>
      <c r="D15" t="inlineStr">
        <is>
          <t>Deposit ACH IEHP CLAIMS2 TYPE: CLAIMS CO: IEHP CLAIMS2 Entry Class Code: CCD</t>
        </is>
      </c>
      <c r="E15" t="inlineStr"/>
      <c r="F15" t="inlineStr">
        <is>
          <t>908.69</t>
        </is>
      </c>
      <c r="G15" t="n">
        <v>0</v>
      </c>
    </row>
    <row r="16">
      <c r="A16" t="inlineStr"/>
      <c r="B16" t="inlineStr">
        <is>
          <t>2025-11-14 00:00:00</t>
        </is>
      </c>
      <c r="C16" t="inlineStr"/>
      <c r="D16" t="inlineStr">
        <is>
          <t>Deposit by Check</t>
        </is>
      </c>
      <c r="E16" t="inlineStr"/>
      <c r="F16" t="inlineStr">
        <is>
          <t>1544.58</t>
        </is>
      </c>
      <c r="G16" t="n">
        <v>0</v>
      </c>
    </row>
    <row r="17">
      <c r="A17" t="inlineStr"/>
      <c r="B17" t="inlineStr">
        <is>
          <t>2025-10-07 00:00:00</t>
        </is>
      </c>
      <c r="C17" t="inlineStr"/>
      <c r="D17" t="inlineStr">
        <is>
          <t>Deposit ACH IEHP CLAIMS2 TYPE: CLAIMS CO: IEHP CLAIMS2 Entry Class Code: CCD</t>
        </is>
      </c>
      <c r="E17" t="inlineStr"/>
      <c r="F17" t="inlineStr">
        <is>
          <t>2649.72</t>
        </is>
      </c>
      <c r="G17" t="n">
        <v>0</v>
      </c>
    </row>
    <row r="18">
      <c r="A18" t="inlineStr"/>
      <c r="B18" t="inlineStr">
        <is>
          <t>2025-12-04 00:00:00</t>
        </is>
      </c>
      <c r="C18" t="inlineStr"/>
      <c r="D18" t="inlineStr">
        <is>
          <t>Deposit ACH IEHP CLAIMS2 TYPE: CLAIMS CO: IEHP CLAIMS2 Entry Class Code: CCD</t>
        </is>
      </c>
      <c r="E18" t="inlineStr"/>
      <c r="F18" t="inlineStr">
        <is>
          <t>3283.22</t>
        </is>
      </c>
      <c r="G18" t="n">
        <v>0</v>
      </c>
    </row>
    <row r="19">
      <c r="A19" t="inlineStr"/>
      <c r="B19" t="inlineStr">
        <is>
          <t>2025-10-15 00:00:00</t>
        </is>
      </c>
      <c r="C19" t="inlineStr"/>
      <c r="D19" t="inlineStr">
        <is>
          <t>Deposit ACH IEHP CLAIMS2 TYPE: CLAIMS CO: IEHP CLAIMS2 Entry Class Code: CCD</t>
        </is>
      </c>
      <c r="E19" t="inlineStr"/>
      <c r="F19" t="inlineStr">
        <is>
          <t>4249.72</t>
        </is>
      </c>
      <c r="G19" t="n">
        <v>0</v>
      </c>
    </row>
    <row r="20">
      <c r="A20" t="inlineStr"/>
      <c r="B20" t="inlineStr">
        <is>
          <t>2025-10-23 00:00:00</t>
        </is>
      </c>
      <c r="C20" t="inlineStr"/>
      <c r="D20" t="inlineStr">
        <is>
          <t>Deposit ACH IEHP CLAIMS2 TYPE: CLAIMS CO: IEHP CLAIMS2 Entry Class Code: CCD</t>
        </is>
      </c>
      <c r="E20" t="inlineStr"/>
      <c r="F20" t="inlineStr">
        <is>
          <t>7245.87</t>
        </is>
      </c>
      <c r="G20" t="n">
        <v>0</v>
      </c>
    </row>
    <row r="21">
      <c r="A21" t="inlineStr"/>
      <c r="B21" t="inlineStr">
        <is>
          <t>2025-11-26 00:00:00</t>
        </is>
      </c>
      <c r="C21" t="inlineStr"/>
      <c r="D21" t="inlineStr">
        <is>
          <t>Deposit ACH IEHP CLAIMS2 TYPE: CLAIMS CO: IEHP CLAIMS2 Entry Class Code: CCD</t>
        </is>
      </c>
      <c r="E21" t="inlineStr"/>
      <c r="F21" t="inlineStr">
        <is>
          <t>8119.73</t>
        </is>
      </c>
      <c r="G21" t="n">
        <v>0</v>
      </c>
    </row>
    <row r="22">
      <c r="A22" t="inlineStr"/>
      <c r="B22" t="inlineStr">
        <is>
          <t>2025-10-01 00:00:00</t>
        </is>
      </c>
      <c r="C22" t="inlineStr"/>
      <c r="D22" t="inlineStr">
        <is>
          <t>Deposit ACH IEHP CLAIMS2 TYPE: CLAIMS CO: IEHP CLAIMS2 Entry Class Code: CCD</t>
        </is>
      </c>
      <c r="E22" t="inlineStr"/>
      <c r="F22" t="inlineStr">
        <is>
          <t>14505.15</t>
        </is>
      </c>
      <c r="G22" t="n">
        <v>0</v>
      </c>
    </row>
    <row r="23">
      <c r="A23" t="inlineStr"/>
      <c r="B23" t="inlineStr">
        <is>
          <t>2025-11-14 00:00:00</t>
        </is>
      </c>
      <c r="C23" t="inlineStr"/>
      <c r="D23" t="inlineStr">
        <is>
          <t>Deposit ACH IEHP CLAIMS2 TYPE: CLAIMS CO: IEHP CLAIMS2 Entry Class Code: CCD</t>
        </is>
      </c>
      <c r="E23" t="inlineStr"/>
      <c r="F23" t="inlineStr">
        <is>
          <t>44206.4</t>
        </is>
      </c>
      <c r="G23" t="n">
        <v>0</v>
      </c>
    </row>
    <row r="24">
      <c r="A24" t="inlineStr"/>
      <c r="B24" t="inlineStr">
        <is>
          <t>2025-10-29 00:00:00</t>
        </is>
      </c>
      <c r="C24" t="inlineStr"/>
      <c r="D24" t="inlineStr">
        <is>
          <t>Deposit ACH IEHP CLAIMS2 TYPE: CLAIMS CO: IEHP CLAIMS2</t>
        </is>
      </c>
      <c r="E24" t="inlineStr"/>
      <c r="F24" t="inlineStr">
        <is>
          <t>50797.12</t>
        </is>
      </c>
      <c r="G24" t="n">
        <v>0</v>
      </c>
    </row>
    <row r="25">
      <c r="A25" t="inlineStr"/>
      <c r="B25" t="inlineStr">
        <is>
          <t>2025-10-31 00:00:00</t>
        </is>
      </c>
      <c r="C25" t="inlineStr"/>
      <c r="D25" t="inlineStr">
        <is>
          <t>Deposit ACH IEHP CLAIMS2 TYPE: CLAIMS CO: IEHP CLAIMS2 Entry Class Code: CCD</t>
        </is>
      </c>
      <c r="E25" t="inlineStr"/>
      <c r="F25" t="inlineStr">
        <is>
          <t>64426.47</t>
        </is>
      </c>
      <c r="G25" t="n">
        <v>0</v>
      </c>
    </row>
    <row r="26">
      <c r="A26" t="inlineStr"/>
      <c r="B26" t="inlineStr">
        <is>
          <t>2025-12-11 00:00:00</t>
        </is>
      </c>
      <c r="C26" t="inlineStr"/>
      <c r="D26" t="inlineStr">
        <is>
          <t>Deposit ACH IEHP CLAIMS2 TYPE: CLAIMS CO: IEHP CLAIMS2 Entry Class Code: CCD</t>
        </is>
      </c>
      <c r="E26" t="inlineStr"/>
      <c r="F26" t="inlineStr">
        <is>
          <t>67076.81</t>
        </is>
      </c>
      <c r="G26" t="n">
        <v>0</v>
      </c>
    </row>
    <row r="27">
      <c r="A27" t="inlineStr"/>
      <c r="B27" t="inlineStr">
        <is>
          <t>2025-11-04 00:00:00</t>
        </is>
      </c>
      <c r="C27" t="inlineStr"/>
      <c r="D27" t="inlineStr">
        <is>
          <t>Deposit ACH IEHP CLAIMS2 TYPE: CLAIMS CO: IEHP CLAIMS2 Entry Class Code: CCD</t>
        </is>
      </c>
      <c r="E27" t="inlineStr"/>
      <c r="F27" t="inlineStr">
        <is>
          <t>71049.07</t>
        </is>
      </c>
      <c r="G27" t="n">
        <v>0</v>
      </c>
    </row>
    <row r="28">
      <c r="A28" t="inlineStr"/>
      <c r="B28" t="inlineStr">
        <is>
          <t>2025-12-10 00:00:00</t>
        </is>
      </c>
      <c r="C28" t="inlineStr"/>
      <c r="D28" t="inlineStr">
        <is>
          <t>Deposit ACH IEHP CLAIMS2 TYPE: CLAIMS CO: IEHP CLAIMS2 Entry Class Code: CCD</t>
        </is>
      </c>
      <c r="E28" t="inlineStr"/>
      <c r="F28" t="inlineStr">
        <is>
          <t>81868.63</t>
        </is>
      </c>
      <c r="G28" t="n">
        <v>0</v>
      </c>
    </row>
    <row r="29">
      <c r="A29" t="inlineStr"/>
      <c r="B29" t="inlineStr">
        <is>
          <t>2025-12-24 00:00:00</t>
        </is>
      </c>
      <c r="C29" t="inlineStr"/>
      <c r="D29" t="inlineStr">
        <is>
          <t>Deposit ACH IEHP CLAIMS2 TYPE: CLAIMS CO: IEHP CLAIMS2 Entry Class Code: CCD</t>
        </is>
      </c>
      <c r="E29" t="inlineStr"/>
      <c r="F29" t="inlineStr">
        <is>
          <t>84157.13</t>
        </is>
      </c>
      <c r="G29" t="n">
        <v>0</v>
      </c>
    </row>
    <row r="30">
      <c r="A30" t="inlineStr"/>
      <c r="B30" t="inlineStr">
        <is>
          <t>2025-10-17 00:00:00</t>
        </is>
      </c>
      <c r="C30" t="inlineStr"/>
      <c r="D30" t="inlineStr">
        <is>
          <t>Deposit ACH IEHP CLAIMS2 TYPE: CLAIMS CO: IEHP CLAIMS2 Entry Class Code: CCD</t>
        </is>
      </c>
      <c r="E30" t="inlineStr"/>
      <c r="F30" t="inlineStr">
        <is>
          <t>88971.28</t>
        </is>
      </c>
      <c r="G30" t="n">
        <v>0</v>
      </c>
    </row>
    <row r="31">
      <c r="A31" t="inlineStr"/>
      <c r="B31" t="inlineStr">
        <is>
          <t>2025-10-10 00:00:00</t>
        </is>
      </c>
      <c r="C31" t="inlineStr"/>
      <c r="D31" t="inlineStr">
        <is>
          <t>Deposit ACH IEHP CLAIMS2 TYPE: CLAIMS CO: IEHP CLAIMS2 Entry Class Code: CCD</t>
        </is>
      </c>
      <c r="E31" t="inlineStr"/>
      <c r="F31" t="inlineStr">
        <is>
          <t>89312.92</t>
        </is>
      </c>
      <c r="G31" t="n">
        <v>0</v>
      </c>
    </row>
    <row r="32">
      <c r="A32" t="inlineStr"/>
      <c r="B32" t="inlineStr">
        <is>
          <t>2025-10-22 00:00:00</t>
        </is>
      </c>
      <c r="C32" t="inlineStr"/>
      <c r="D32" t="inlineStr">
        <is>
          <t>Deposit ACH IEHP CLAIMS2 TYPE: CLAIMS CO: IEHP CLAIMS2 Entry Class Code: CCD</t>
        </is>
      </c>
      <c r="E32" t="inlineStr"/>
      <c r="F32" t="inlineStr">
        <is>
          <t>92820.75</t>
        </is>
      </c>
      <c r="G32" t="n">
        <v>0</v>
      </c>
    </row>
    <row r="33">
      <c r="A33" t="inlineStr"/>
      <c r="B33" t="inlineStr">
        <is>
          <t>2025-11-19 00:00:00</t>
        </is>
      </c>
      <c r="C33" t="inlineStr"/>
      <c r="D33" t="inlineStr">
        <is>
          <t>Deposit ACH IEHP CLAIMS2 TYPE: CLAIMS CO: IEHP CLAIMS2 Entry Class Code: CCD</t>
        </is>
      </c>
      <c r="E33" t="inlineStr"/>
      <c r="F33" t="inlineStr">
        <is>
          <t>100143.86</t>
        </is>
      </c>
      <c r="G33" t="n">
        <v>0</v>
      </c>
    </row>
    <row r="34">
      <c r="A34" t="inlineStr"/>
      <c r="B34" t="inlineStr">
        <is>
          <t>2025-10-02 00:00:00</t>
        </is>
      </c>
      <c r="C34" t="inlineStr"/>
      <c r="D34" t="inlineStr">
        <is>
          <t>Deposit ACH IEHP CLAIMS2 TYPE: CLAIMS CO: IEHP CLAIMS2 Entry Class Code: CCD</t>
        </is>
      </c>
      <c r="E34" t="inlineStr"/>
      <c r="F34" t="inlineStr">
        <is>
          <t>102093.59</t>
        </is>
      </c>
      <c r="G34" t="n">
        <v>0</v>
      </c>
    </row>
    <row r="35">
      <c r="A35" t="inlineStr"/>
      <c r="B35" t="inlineStr">
        <is>
          <t>2025-11-06 00:00:00</t>
        </is>
      </c>
      <c r="C35" t="inlineStr"/>
      <c r="D35" t="inlineStr">
        <is>
          <t>Deposit ACH IEHP CLAIMS2 TYPE: CLAIMS CO: IEHP CLAIMS2 Entry Class Code: CCD</t>
        </is>
      </c>
      <c r="E35" t="inlineStr"/>
      <c r="F35" t="inlineStr">
        <is>
          <t>104561.08</t>
        </is>
      </c>
      <c r="G35" t="n">
        <v>0</v>
      </c>
    </row>
    <row r="36">
      <c r="A36" t="inlineStr"/>
      <c r="B36" t="inlineStr">
        <is>
          <t>2025-11-20 00:00:00</t>
        </is>
      </c>
      <c r="C36" t="inlineStr"/>
      <c r="D36" t="inlineStr">
        <is>
          <t>Deposit ACH IEHP CLAIMS2 TYPE: CLAIMS CO: IEHP CLAIMS2 Entry Class Code: CCD</t>
        </is>
      </c>
      <c r="E36" t="inlineStr"/>
      <c r="F36" t="inlineStr">
        <is>
          <t>117635.37</t>
        </is>
      </c>
      <c r="G36" t="n">
        <v>0</v>
      </c>
    </row>
    <row r="37">
      <c r="A37" t="inlineStr"/>
      <c r="B37" t="inlineStr">
        <is>
          <t>2025-12-19 00:00:00</t>
        </is>
      </c>
      <c r="C37" t="inlineStr"/>
      <c r="D37" t="inlineStr">
        <is>
          <t>Deposit ACH IEHP CLAIMS2 TYPE: CLAIMS CO: IEHP CLAIMS2 Entry Class Code: CCD</t>
        </is>
      </c>
      <c r="E37" t="inlineStr"/>
      <c r="F37" t="inlineStr">
        <is>
          <t>120067.76</t>
        </is>
      </c>
      <c r="G37" t="n">
        <v>0</v>
      </c>
    </row>
    <row r="38">
      <c r="A38" t="inlineStr"/>
      <c r="B38" t="inlineStr">
        <is>
          <t>2025-12-03 00:00:00</t>
        </is>
      </c>
      <c r="C38" t="inlineStr"/>
      <c r="D38" t="inlineStr">
        <is>
          <t>Deposit ACH IEHP CLAIMS2 TYPE: CLAIMS CO: IEHP CLAIMS2 Entry Class Code: CCD</t>
        </is>
      </c>
      <c r="E38" t="inlineStr"/>
      <c r="F38" t="inlineStr">
        <is>
          <t>138014.75</t>
        </is>
      </c>
      <c r="G38" t="n">
        <v>0</v>
      </c>
    </row>
    <row r="39">
      <c r="A39" t="inlineStr"/>
      <c r="B39" t="inlineStr"/>
      <c r="C39" t="inlineStr"/>
      <c r="D39" t="inlineStr"/>
      <c r="E39" t="inlineStr"/>
      <c r="F39" t="inlineStr"/>
      <c r="G39" t="inlineStr"/>
    </row>
    <row r="40">
      <c r="A40" t="inlineStr"/>
      <c r="B40" t="inlineStr">
        <is>
          <t>2025-10-10 00:00:00</t>
        </is>
      </c>
      <c r="C40" t="inlineStr"/>
      <c r="D40" t="inlineStr">
        <is>
          <t>Missing Description</t>
        </is>
      </c>
      <c r="E40" t="inlineStr">
        <is>
          <t>166</t>
        </is>
      </c>
      <c r="F40" t="inlineStr">
        <is>
          <t>0</t>
        </is>
      </c>
      <c r="G40" t="n">
        <v>37000</v>
      </c>
    </row>
    <row r="41">
      <c r="A41" t="inlineStr"/>
      <c r="B41" t="inlineStr">
        <is>
          <t>2025-10-14 00:00:00</t>
        </is>
      </c>
      <c r="C41" t="inlineStr"/>
      <c r="D41" t="inlineStr">
        <is>
          <t>Missing Description</t>
        </is>
      </c>
      <c r="E41" t="inlineStr">
        <is>
          <t>181</t>
        </is>
      </c>
      <c r="F41" t="inlineStr">
        <is>
          <t>0</t>
        </is>
      </c>
      <c r="G41" t="n">
        <v>1812</v>
      </c>
    </row>
    <row r="42">
      <c r="A42" t="inlineStr"/>
      <c r="B42" t="inlineStr">
        <is>
          <t>2025-11-17 00:00:00</t>
        </is>
      </c>
      <c r="C42" t="inlineStr"/>
      <c r="D42" t="inlineStr">
        <is>
          <t>Missing Description</t>
        </is>
      </c>
      <c r="E42" t="inlineStr">
        <is>
          <t>182</t>
        </is>
      </c>
      <c r="F42" t="inlineStr">
        <is>
          <t>0</t>
        </is>
      </c>
      <c r="G42" t="n">
        <v>801.58</v>
      </c>
    </row>
    <row r="43">
      <c r="A43" t="inlineStr"/>
      <c r="B43" t="inlineStr">
        <is>
          <t>2025-10-28 00:00:00</t>
        </is>
      </c>
      <c r="C43" t="inlineStr"/>
      <c r="D43" t="inlineStr">
        <is>
          <t>Missing Description</t>
        </is>
      </c>
      <c r="E43" t="inlineStr">
        <is>
          <t>183</t>
        </is>
      </c>
      <c r="F43" t="inlineStr">
        <is>
          <t>0</t>
        </is>
      </c>
      <c r="G43" t="n">
        <v>57500</v>
      </c>
    </row>
    <row r="44">
      <c r="A44" t="inlineStr"/>
      <c r="B44" t="inlineStr">
        <is>
          <t>2025-10-27 00:00:00</t>
        </is>
      </c>
      <c r="C44" t="inlineStr"/>
      <c r="D44" t="inlineStr">
        <is>
          <t>Missing Description</t>
        </is>
      </c>
      <c r="E44" t="inlineStr">
        <is>
          <t>184</t>
        </is>
      </c>
      <c r="F44" t="inlineStr">
        <is>
          <t>0</t>
        </is>
      </c>
      <c r="G44" t="n">
        <v>3990</v>
      </c>
    </row>
    <row r="45">
      <c r="A45" t="inlineStr"/>
      <c r="B45" t="inlineStr">
        <is>
          <t>2025-11-26 00:00:00</t>
        </is>
      </c>
      <c r="C45" t="inlineStr"/>
      <c r="D45" t="inlineStr">
        <is>
          <t>Missing Description</t>
        </is>
      </c>
      <c r="E45" t="inlineStr">
        <is>
          <t>188</t>
        </is>
      </c>
      <c r="F45" t="inlineStr">
        <is>
          <t>0</t>
        </is>
      </c>
      <c r="G45" t="n">
        <v>75000</v>
      </c>
    </row>
    <row r="46">
      <c r="A46" t="inlineStr"/>
      <c r="B46" t="inlineStr">
        <is>
          <t>2025-12-08 00:00:00</t>
        </is>
      </c>
      <c r="C46" t="inlineStr"/>
      <c r="D46" t="inlineStr">
        <is>
          <t>Missing Description</t>
        </is>
      </c>
      <c r="E46" t="inlineStr">
        <is>
          <t>189</t>
        </is>
      </c>
      <c r="F46" t="inlineStr">
        <is>
          <t>0</t>
        </is>
      </c>
      <c r="G46" t="n">
        <v>9358.77</v>
      </c>
    </row>
    <row r="47">
      <c r="A47" t="inlineStr"/>
      <c r="B47" t="inlineStr">
        <is>
          <t>2025-11-28 00:00:00</t>
        </is>
      </c>
      <c r="C47" t="inlineStr"/>
      <c r="D47" t="inlineStr">
        <is>
          <t>Missing Description</t>
        </is>
      </c>
      <c r="E47" t="inlineStr">
        <is>
          <t>190</t>
        </is>
      </c>
      <c r="F47" t="inlineStr">
        <is>
          <t>0</t>
        </is>
      </c>
      <c r="G47" t="n">
        <v>3460</v>
      </c>
    </row>
    <row r="48">
      <c r="A48" t="inlineStr"/>
      <c r="B48" t="inlineStr">
        <is>
          <t>2025-12-31 00:00:00</t>
        </is>
      </c>
      <c r="C48" t="inlineStr"/>
      <c r="D48" t="inlineStr">
        <is>
          <t>Missing Description</t>
        </is>
      </c>
      <c r="E48" t="inlineStr">
        <is>
          <t>192</t>
        </is>
      </c>
      <c r="F48" t="inlineStr">
        <is>
          <t>0</t>
        </is>
      </c>
      <c r="G48" t="n">
        <v>953</v>
      </c>
    </row>
    <row r="49">
      <c r="A49" t="inlineStr"/>
      <c r="B49" t="inlineStr">
        <is>
          <t>2025-10-16 00:00:00</t>
        </is>
      </c>
      <c r="C49" t="inlineStr"/>
      <c r="D49" t="inlineStr">
        <is>
          <t>Missing Description</t>
        </is>
      </c>
      <c r="E49" t="inlineStr">
        <is>
          <t>74</t>
        </is>
      </c>
      <c r="F49" t="inlineStr">
        <is>
          <t>0</t>
        </is>
      </c>
      <c r="G49" t="n">
        <v>519.1900000000001</v>
      </c>
    </row>
    <row r="50">
      <c r="A50" t="inlineStr"/>
      <c r="B50" t="inlineStr">
        <is>
          <t>2025-10-27 00:00:00</t>
        </is>
      </c>
      <c r="C50" t="inlineStr"/>
      <c r="D50" t="inlineStr">
        <is>
          <t>Missing Description</t>
        </is>
      </c>
      <c r="E50" t="inlineStr">
        <is>
          <t>76</t>
        </is>
      </c>
      <c r="F50" t="inlineStr">
        <is>
          <t>0</t>
        </is>
      </c>
      <c r="G50" t="n">
        <v>974.46</v>
      </c>
    </row>
    <row r="51">
      <c r="A51" t="inlineStr"/>
      <c r="B51" t="inlineStr">
        <is>
          <t>2025-11-21 00:00:00</t>
        </is>
      </c>
      <c r="C51" t="inlineStr"/>
      <c r="D51" t="inlineStr">
        <is>
          <t>Missing Description</t>
        </is>
      </c>
      <c r="E51" t="inlineStr">
        <is>
          <t>99999</t>
        </is>
      </c>
      <c r="F51" t="inlineStr">
        <is>
          <t>0</t>
        </is>
      </c>
      <c r="G51" t="n">
        <v>743.91</v>
      </c>
    </row>
    <row r="52">
      <c r="A52" t="inlineStr"/>
      <c r="B52" t="inlineStr"/>
      <c r="C52" t="inlineStr"/>
      <c r="D52" t="inlineStr"/>
      <c r="E52" t="inlineStr"/>
      <c r="F52" t="inlineStr"/>
      <c r="G52" t="n">
        <v>0</v>
      </c>
    </row>
    <row r="53">
      <c r="A53" t="inlineStr"/>
      <c r="B53" t="inlineStr">
        <is>
          <t>2025-12-02 00:00:00</t>
        </is>
      </c>
      <c r="C53" t="inlineStr"/>
      <c r="D53" t="inlineStr">
        <is>
          <t>ACURA PMT</t>
        </is>
      </c>
      <c r="E53" t="inlineStr"/>
      <c r="F53" t="inlineStr">
        <is>
          <t>0</t>
        </is>
      </c>
      <c r="G53" t="n">
        <v>637.38</v>
      </c>
    </row>
    <row r="54">
      <c r="A54" t="inlineStr"/>
      <c r="B54" t="inlineStr">
        <is>
          <t>2025-10-01 00:00:00</t>
        </is>
      </c>
      <c r="C54" t="inlineStr"/>
      <c r="D54" t="inlineStr">
        <is>
          <t>ACURA PMT TYPE: 8669502439.00 CO: ACURA PMT Entry Class Code: PPD</t>
        </is>
      </c>
      <c r="E54" t="inlineStr"/>
      <c r="F54" t="inlineStr">
        <is>
          <t>0</t>
        </is>
      </c>
      <c r="G54" t="n">
        <v>637.38</v>
      </c>
    </row>
    <row r="55">
      <c r="A55" t="inlineStr"/>
      <c r="B55" t="inlineStr">
        <is>
          <t>2025-10-31 00:00:00</t>
        </is>
      </c>
      <c r="C55" t="inlineStr"/>
      <c r="D55" t="inlineStr">
        <is>
          <t>ACURA PMT TYPE: 8669502439.00 CO: ACURA PMT Entry Class Code: PPD</t>
        </is>
      </c>
      <c r="E55" t="inlineStr"/>
      <c r="F55" t="inlineStr">
        <is>
          <t>0</t>
        </is>
      </c>
      <c r="G55" t="n">
        <v>637.38</v>
      </c>
    </row>
    <row r="56">
      <c r="A56" t="inlineStr"/>
      <c r="B56" t="inlineStr">
        <is>
          <t>2025-12-31 00:00:00</t>
        </is>
      </c>
      <c r="C56" t="inlineStr"/>
      <c r="D56" t="inlineStr">
        <is>
          <t>ACURA PMT TYPE: 8669502439.00 CO: ACURA PMT Entry Class Code: PPD</t>
        </is>
      </c>
      <c r="E56" t="inlineStr"/>
      <c r="F56" t="inlineStr">
        <is>
          <t>0</t>
        </is>
      </c>
      <c r="G56" t="n">
        <v>637.38</v>
      </c>
    </row>
    <row r="57">
      <c r="A57" t="inlineStr"/>
      <c r="B57" t="inlineStr">
        <is>
          <t>2025-12-17 00:00:00</t>
        </is>
      </c>
      <c r="C57" t="inlineStr"/>
      <c r="D57" t="inlineStr">
        <is>
          <t>ADT</t>
        </is>
      </c>
      <c r="E57" t="inlineStr"/>
      <c r="F57" t="inlineStr">
        <is>
          <t>0</t>
        </is>
      </c>
      <c r="G57" t="n">
        <v>46.64</v>
      </c>
    </row>
    <row r="58">
      <c r="A58" t="inlineStr"/>
      <c r="B58" t="inlineStr">
        <is>
          <t>2025-10-18 00:00:00</t>
        </is>
      </c>
      <c r="C58" t="inlineStr"/>
      <c r="D58" t="inlineStr">
        <is>
          <t>ADT</t>
        </is>
      </c>
      <c r="E58" t="inlineStr"/>
      <c r="F58" t="inlineStr">
        <is>
          <t>0</t>
        </is>
      </c>
      <c r="G58" t="n">
        <v>55.43</v>
      </c>
    </row>
    <row r="59">
      <c r="A59" t="inlineStr"/>
      <c r="B59" t="inlineStr">
        <is>
          <t>2025-11-17 00:00:00</t>
        </is>
      </c>
      <c r="C59" t="inlineStr"/>
      <c r="D59" t="inlineStr">
        <is>
          <t>ADT</t>
        </is>
      </c>
      <c r="E59" t="inlineStr"/>
      <c r="F59" t="inlineStr">
        <is>
          <t>0</t>
        </is>
      </c>
      <c r="G59" t="n">
        <v>46.64</v>
      </c>
    </row>
    <row r="60">
      <c r="A60" t="inlineStr"/>
      <c r="B60" t="inlineStr">
        <is>
          <t>2025-11-18 00:00:00</t>
        </is>
      </c>
      <c r="C60" t="inlineStr"/>
      <c r="D60" t="inlineStr">
        <is>
          <t>ADT</t>
        </is>
      </c>
      <c r="E60" t="inlineStr"/>
      <c r="F60" t="inlineStr">
        <is>
          <t>0</t>
        </is>
      </c>
      <c r="G60" t="n">
        <v>55.43</v>
      </c>
    </row>
    <row r="61">
      <c r="A61" t="inlineStr"/>
      <c r="B61" t="inlineStr">
        <is>
          <t>2025-12-18 00:00:00</t>
        </is>
      </c>
      <c r="C61" t="inlineStr"/>
      <c r="D61" t="inlineStr">
        <is>
          <t>ADT</t>
        </is>
      </c>
      <c r="E61" t="inlineStr"/>
      <c r="F61" t="inlineStr">
        <is>
          <t>0</t>
        </is>
      </c>
      <c r="G61" t="n">
        <v>55.43</v>
      </c>
    </row>
    <row r="62">
      <c r="A62" t="inlineStr"/>
      <c r="B62" t="inlineStr">
        <is>
          <t>2025-10-17 00:00:00</t>
        </is>
      </c>
      <c r="C62" t="inlineStr"/>
      <c r="D62" t="inlineStr">
        <is>
          <t>ADT</t>
        </is>
      </c>
      <c r="E62" t="inlineStr"/>
      <c r="F62" t="inlineStr">
        <is>
          <t>0</t>
        </is>
      </c>
      <c r="G62" t="n">
        <v>46.64</v>
      </c>
    </row>
    <row r="63">
      <c r="A63" t="inlineStr"/>
      <c r="B63" t="inlineStr">
        <is>
          <t>2025-10-02 00:00:00</t>
        </is>
      </c>
      <c r="C63" t="inlineStr"/>
      <c r="D63" t="inlineStr">
        <is>
          <t>Aetna</t>
        </is>
      </c>
      <c r="E63" t="inlineStr"/>
      <c r="F63" t="inlineStr">
        <is>
          <t>0</t>
        </is>
      </c>
      <c r="G63" t="n">
        <v>4571.62</v>
      </c>
    </row>
    <row r="64">
      <c r="A64" t="inlineStr"/>
      <c r="B64" t="inlineStr">
        <is>
          <t>2025-11-03 00:00:00</t>
        </is>
      </c>
      <c r="C64" t="inlineStr"/>
      <c r="D64" t="inlineStr">
        <is>
          <t>Aetna</t>
        </is>
      </c>
      <c r="E64" t="inlineStr"/>
      <c r="F64" t="inlineStr">
        <is>
          <t>0</t>
        </is>
      </c>
      <c r="G64" t="n">
        <v>4571.62</v>
      </c>
    </row>
    <row r="65">
      <c r="A65" t="inlineStr"/>
      <c r="B65" t="inlineStr">
        <is>
          <t>2025-12-02 00:00:00</t>
        </is>
      </c>
      <c r="C65" t="inlineStr"/>
      <c r="D65" t="inlineStr">
        <is>
          <t>Aetna</t>
        </is>
      </c>
      <c r="E65" t="inlineStr"/>
      <c r="F65" t="inlineStr">
        <is>
          <t>0</t>
        </is>
      </c>
      <c r="G65" t="n">
        <v>4571.62</v>
      </c>
    </row>
    <row r="66">
      <c r="A66" t="inlineStr"/>
      <c r="B66" t="inlineStr">
        <is>
          <t>2025-12-30 00:00:00</t>
        </is>
      </c>
      <c r="C66" t="inlineStr"/>
      <c r="D66" t="inlineStr">
        <is>
          <t>AMTRUST NA TYPE: PAYMENT CO: AMTRUST NA Entry Class Code: CCD</t>
        </is>
      </c>
      <c r="E66" t="inlineStr"/>
      <c r="F66" t="inlineStr">
        <is>
          <t>0</t>
        </is>
      </c>
      <c r="G66" t="n">
        <v>776</v>
      </c>
    </row>
    <row r="67">
      <c r="A67" t="inlineStr"/>
      <c r="B67" t="inlineStr">
        <is>
          <t>2025-10-29 00:00:00</t>
        </is>
      </c>
      <c r="C67" t="inlineStr"/>
      <c r="D67" t="inlineStr">
        <is>
          <t>AMTRUST NA TYPE: PAYMENT CO: AMTRUST NA Entry Class Code: CCD</t>
        </is>
      </c>
      <c r="E67" t="inlineStr"/>
      <c r="F67" t="inlineStr">
        <is>
          <t>0</t>
        </is>
      </c>
      <c r="G67" t="n">
        <v>1114</v>
      </c>
    </row>
    <row r="68">
      <c r="A68" t="inlineStr"/>
      <c r="B68" t="inlineStr">
        <is>
          <t>2025-11-20 00:00:00</t>
        </is>
      </c>
      <c r="C68" t="inlineStr"/>
      <c r="D68" t="inlineStr">
        <is>
          <t>Apple</t>
        </is>
      </c>
      <c r="E68" t="inlineStr"/>
      <c r="F68" t="inlineStr">
        <is>
          <t>0</t>
        </is>
      </c>
      <c r="G68" t="n">
        <v>55</v>
      </c>
    </row>
    <row r="69">
      <c r="A69" t="inlineStr"/>
      <c r="B69" t="inlineStr">
        <is>
          <t>2025-10-21 00:00:00</t>
        </is>
      </c>
      <c r="C69" t="inlineStr"/>
      <c r="D69" t="inlineStr">
        <is>
          <t>Apple</t>
        </is>
      </c>
      <c r="E69" t="inlineStr"/>
      <c r="F69" t="inlineStr">
        <is>
          <t>0</t>
        </is>
      </c>
      <c r="G69" t="n">
        <v>61.21</v>
      </c>
    </row>
    <row r="70">
      <c r="A70" t="inlineStr"/>
      <c r="B70" t="inlineStr">
        <is>
          <t>2025-11-24 00:00:00</t>
        </is>
      </c>
      <c r="C70" t="inlineStr"/>
      <c r="D70" t="inlineStr">
        <is>
          <t>Arco</t>
        </is>
      </c>
      <c r="E70" t="inlineStr"/>
      <c r="F70" t="inlineStr">
        <is>
          <t>0</t>
        </is>
      </c>
      <c r="G70" t="n">
        <v>66.88</v>
      </c>
    </row>
    <row r="71">
      <c r="A71" t="inlineStr"/>
      <c r="B71" t="inlineStr">
        <is>
          <t>2025-11-27 00:00:00</t>
        </is>
      </c>
      <c r="C71" t="inlineStr"/>
      <c r="D71" t="inlineStr">
        <is>
          <t>Arco</t>
        </is>
      </c>
      <c r="E71" t="inlineStr"/>
      <c r="F71" t="inlineStr">
        <is>
          <t>0</t>
        </is>
      </c>
      <c r="G71" t="n">
        <v>90.87</v>
      </c>
    </row>
    <row r="72">
      <c r="A72" t="inlineStr"/>
      <c r="B72" t="inlineStr">
        <is>
          <t>2025-11-05 00:00:00</t>
        </is>
      </c>
      <c r="C72" t="inlineStr"/>
      <c r="D72" t="inlineStr">
        <is>
          <t>AT&amp;T</t>
        </is>
      </c>
      <c r="E72" t="inlineStr"/>
      <c r="F72" t="inlineStr">
        <is>
          <t>0</t>
        </is>
      </c>
      <c r="G72" t="n">
        <v>85.25</v>
      </c>
    </row>
    <row r="73">
      <c r="A73" t="inlineStr"/>
      <c r="B73" t="inlineStr">
        <is>
          <t>2025-10-07 00:00:00</t>
        </is>
      </c>
      <c r="C73" t="inlineStr"/>
      <c r="D73" t="inlineStr">
        <is>
          <t>ATT* BILL PAYME 4331 COMMUNICATIONS DR DALLAS TX Date 10/06/25 5.00 505642913 8 4814.00</t>
        </is>
      </c>
      <c r="E73" t="inlineStr"/>
      <c r="F73" t="inlineStr">
        <is>
          <t>0</t>
        </is>
      </c>
      <c r="G73" t="n">
        <v>128.51</v>
      </c>
    </row>
    <row r="74">
      <c r="A74" t="inlineStr"/>
      <c r="B74" t="inlineStr">
        <is>
          <t>2025-11-07 00:00:00</t>
        </is>
      </c>
      <c r="C74" t="inlineStr"/>
      <c r="D74" t="inlineStr">
        <is>
          <t>ATT* BILL PAYME 4331 COMMUNICATIONS DR DALLAS TX Date 11/06/25 7 540759187 0 4814</t>
        </is>
      </c>
      <c r="E74" t="inlineStr"/>
      <c r="F74" t="inlineStr">
        <is>
          <t>0</t>
        </is>
      </c>
      <c r="G74" t="n">
        <v>136.57</v>
      </c>
    </row>
    <row r="75">
      <c r="A75" t="inlineStr"/>
      <c r="B75" t="inlineStr">
        <is>
          <t>2025-12-08 00:00:00</t>
        </is>
      </c>
      <c r="C75" t="inlineStr"/>
      <c r="D75" t="inlineStr">
        <is>
          <t>ATT* BILL PAYME 4331 COMMUNICATIONS DR DALLAS TX Date 12/07/25 7.00 574053544 4 4814.00</t>
        </is>
      </c>
      <c r="E75" t="inlineStr"/>
      <c r="F75" t="inlineStr">
        <is>
          <t>0</t>
        </is>
      </c>
      <c r="G75" t="n">
        <v>175.66</v>
      </c>
    </row>
    <row r="76">
      <c r="A76" t="inlineStr"/>
      <c r="B76" t="inlineStr">
        <is>
          <t>2025-12-20 00:00:00</t>
        </is>
      </c>
      <c r="C76" t="inlineStr"/>
      <c r="D76" t="inlineStr">
        <is>
          <t>BARNESNOBLE Rancho Cucamo CA</t>
        </is>
      </c>
      <c r="E76" t="inlineStr"/>
      <c r="F76" t="inlineStr">
        <is>
          <t>0</t>
        </is>
      </c>
      <c r="G76" t="n">
        <v>47.93</v>
      </c>
    </row>
    <row r="77">
      <c r="A77" t="inlineStr"/>
      <c r="B77" t="inlineStr">
        <is>
          <t>2025-10-01 00:00:00</t>
        </is>
      </c>
      <c r="C77" t="inlineStr"/>
      <c r="D77" t="inlineStr">
        <is>
          <t>CARDMEMBER SERV TYPE: ELECT PYMT CO: CARDMEMBER SERV Entry Class Code: CCD</t>
        </is>
      </c>
      <c r="E77" t="inlineStr"/>
      <c r="F77" t="inlineStr">
        <is>
          <t>0</t>
        </is>
      </c>
      <c r="G77" t="n">
        <v>256</v>
      </c>
    </row>
    <row r="78">
      <c r="A78" t="inlineStr"/>
      <c r="B78" t="inlineStr">
        <is>
          <t>2025-11-03 00:00:00</t>
        </is>
      </c>
      <c r="C78" t="inlineStr"/>
      <c r="D78" t="inlineStr">
        <is>
          <t>CARDMEMBER SERV TYPE: ELECT PYMT CO: CARDMEMBER SERV Entry Class Code: CCD</t>
        </is>
      </c>
      <c r="E78" t="inlineStr"/>
      <c r="F78" t="inlineStr">
        <is>
          <t>0</t>
        </is>
      </c>
      <c r="G78" t="n">
        <v>330</v>
      </c>
    </row>
    <row r="79">
      <c r="A79" t="inlineStr"/>
      <c r="B79" t="inlineStr">
        <is>
          <t>2025-12-01 00:00:00</t>
        </is>
      </c>
      <c r="C79" t="inlineStr"/>
      <c r="D79" t="inlineStr">
        <is>
          <t>CARDMEMBER SERV TYPE: ELECT PYMT CO: CARDMEMBER SERV Entry Class Code: CCD</t>
        </is>
      </c>
      <c r="E79" t="inlineStr"/>
      <c r="F79" t="inlineStr">
        <is>
          <t>0</t>
        </is>
      </c>
      <c r="G79" t="n">
        <v>445</v>
      </c>
    </row>
    <row r="80">
      <c r="A80" t="inlineStr"/>
      <c r="B80" t="inlineStr">
        <is>
          <t>2025-10-28 00:00:00</t>
        </is>
      </c>
      <c r="C80" t="inlineStr"/>
      <c r="D80" t="inlineStr">
        <is>
          <t>CHASE CREDIT CRD TYPE: EPAY CO: CHASE CREDIT CRD NAME: JAVIER F LOPEZ II Entry Class Code: WEB</t>
        </is>
      </c>
      <c r="E80" t="inlineStr"/>
      <c r="F80" t="inlineStr">
        <is>
          <t>0</t>
        </is>
      </c>
      <c r="G80" t="n">
        <v>5000</v>
      </c>
    </row>
    <row r="81">
      <c r="A81" t="inlineStr"/>
      <c r="B81" t="inlineStr">
        <is>
          <t>2025-10-14 00:00:00</t>
        </is>
      </c>
      <c r="C81" t="inlineStr"/>
      <c r="D81" t="inlineStr">
        <is>
          <t>CHASE CREDIT CRD TYPE: EPAY CO: CHASE CREDIT CRD NAME: JAVIER F LOPEZ II Entry Class Code: WEB</t>
        </is>
      </c>
      <c r="E81" t="inlineStr"/>
      <c r="F81" t="inlineStr">
        <is>
          <t>0</t>
        </is>
      </c>
      <c r="G81" t="n">
        <v>18943.54</v>
      </c>
    </row>
    <row r="82">
      <c r="A82" t="inlineStr"/>
      <c r="B82" t="inlineStr">
        <is>
          <t>2025-12-15 00:00:00</t>
        </is>
      </c>
      <c r="C82" t="inlineStr"/>
      <c r="D82" t="inlineStr">
        <is>
          <t>CHASE CREDIT CRD TYPE: EPAY CO: CHASE CREDIT CRD NAME: JAVIER F LOPEZ II Entry Class Code: WEB</t>
        </is>
      </c>
      <c r="E82" t="inlineStr"/>
      <c r="F82" t="inlineStr">
        <is>
          <t>0</t>
        </is>
      </c>
      <c r="G82" t="n">
        <v>20012.08</v>
      </c>
    </row>
    <row r="83">
      <c r="A83" t="inlineStr"/>
      <c r="B83" t="inlineStr">
        <is>
          <t>2025-11-03 00:00:00</t>
        </is>
      </c>
      <c r="C83" t="inlineStr"/>
      <c r="D83" t="inlineStr">
        <is>
          <t>Commercenter TYPE: SIGONFILE CO: Commercenter Entry Class Code: CCD</t>
        </is>
      </c>
      <c r="E83" t="inlineStr"/>
      <c r="F83" t="inlineStr">
        <is>
          <t>0</t>
        </is>
      </c>
      <c r="G83" t="n">
        <v>1489</v>
      </c>
    </row>
    <row r="84">
      <c r="A84" t="inlineStr"/>
      <c r="B84" t="inlineStr">
        <is>
          <t>2025-10-02 00:00:00</t>
        </is>
      </c>
      <c r="C84" t="inlineStr"/>
      <c r="D84" t="inlineStr">
        <is>
          <t>Commercenter--19 TYPE: SIGONFILE CO: Commercenter--19 Entry Class Code: CCD</t>
        </is>
      </c>
      <c r="E84" t="inlineStr"/>
      <c r="F84" t="inlineStr">
        <is>
          <t>0</t>
        </is>
      </c>
      <c r="G84" t="n">
        <v>1489</v>
      </c>
    </row>
    <row r="85">
      <c r="A85" t="inlineStr"/>
      <c r="B85" t="inlineStr">
        <is>
          <t>2025-12-02 00:00:00</t>
        </is>
      </c>
      <c r="C85" t="inlineStr"/>
      <c r="D85" t="inlineStr">
        <is>
          <t>Commercenter--19 TYPE: SIGONFILE CO: Commercenter--19 Entry Class Code: CCD</t>
        </is>
      </c>
      <c r="E85" t="inlineStr"/>
      <c r="F85" t="inlineStr">
        <is>
          <t>0</t>
        </is>
      </c>
      <c r="G85" t="n">
        <v>1489</v>
      </c>
    </row>
    <row r="86">
      <c r="A86" t="inlineStr"/>
      <c r="B86" t="inlineStr">
        <is>
          <t>2025-11-27 00:00:00</t>
        </is>
      </c>
      <c r="C86" t="inlineStr"/>
      <c r="D86" t="inlineStr">
        <is>
          <t>CRR INCORPORATE 11292 WESTERN AVE STANTON CA Date 11/26/25 1 173320077 6 4900</t>
        </is>
      </c>
      <c r="E86" t="inlineStr"/>
      <c r="F86" t="inlineStr">
        <is>
          <t>0</t>
        </is>
      </c>
      <c r="G86" t="n">
        <v>110.1</v>
      </c>
    </row>
    <row r="87">
      <c r="A87" t="inlineStr"/>
      <c r="B87" t="inlineStr">
        <is>
          <t>2025-11-29 00:00:00</t>
        </is>
      </c>
      <c r="C87" t="inlineStr"/>
      <c r="D87" t="inlineStr">
        <is>
          <t>Del Taco</t>
        </is>
      </c>
      <c r="E87" t="inlineStr"/>
      <c r="F87" t="inlineStr">
        <is>
          <t>0</t>
        </is>
      </c>
      <c r="G87" t="n">
        <v>12.81</v>
      </c>
    </row>
    <row r="88">
      <c r="A88" t="inlineStr"/>
      <c r="B88" t="inlineStr">
        <is>
          <t>2025-12-24 00:00:00</t>
        </is>
      </c>
      <c r="C88" t="inlineStr"/>
      <c r="D88" t="inlineStr">
        <is>
          <t>Dicks Sporting 14500 Bear Valley Road Victorville CA Date 12/23/25 2.00 5357014471 1.00 5941.00</t>
        </is>
      </c>
      <c r="E88" t="inlineStr"/>
      <c r="F88" t="inlineStr">
        <is>
          <t>0</t>
        </is>
      </c>
      <c r="G88" t="n">
        <v>43.48</v>
      </c>
    </row>
    <row r="89">
      <c r="A89" t="inlineStr"/>
      <c r="B89" t="inlineStr">
        <is>
          <t>2025-12-11 00:00:00</t>
        </is>
      </c>
      <c r="C89" t="inlineStr"/>
      <c r="D89" t="inlineStr">
        <is>
          <t>Employers Insura TYPE: debitpmt CO: Employers Insura NAME: ACH PYMT EPIC Entry Class Code: WEB</t>
        </is>
      </c>
      <c r="E89" t="inlineStr"/>
      <c r="F89" t="inlineStr">
        <is>
          <t>0</t>
        </is>
      </c>
      <c r="G89" t="n">
        <v>1758</v>
      </c>
    </row>
    <row r="90">
      <c r="A90" t="inlineStr"/>
      <c r="B90" t="inlineStr">
        <is>
          <t>2025-10-13 00:00:00</t>
        </is>
      </c>
      <c r="C90" t="inlineStr"/>
      <c r="D90" t="inlineStr">
        <is>
          <t>FAITHS HALLMARK 8754 19TH ST ALTA LOMA CA</t>
        </is>
      </c>
      <c r="E90" t="inlineStr"/>
      <c r="F90" t="inlineStr">
        <is>
          <t>0</t>
        </is>
      </c>
      <c r="G90" t="n">
        <v>3.76</v>
      </c>
    </row>
    <row r="91">
      <c r="A91" t="inlineStr"/>
      <c r="B91" t="inlineStr">
        <is>
          <t>2025-11-30 00:00:00</t>
        </is>
      </c>
      <c r="C91" t="inlineStr"/>
      <c r="D91" t="inlineStr">
        <is>
          <t>FARMER BOYS 117 1170 FOOTHILL BLVD UPLAND CA Date 11/29/25 0 000474937 7 5814</t>
        </is>
      </c>
      <c r="E91" t="inlineStr"/>
      <c r="F91" t="inlineStr">
        <is>
          <t>0</t>
        </is>
      </c>
      <c r="G91" t="n">
        <v>14.86</v>
      </c>
    </row>
    <row r="92">
      <c r="A92" t="inlineStr"/>
      <c r="B92" t="inlineStr">
        <is>
          <t>2025-12-08 00:00:00</t>
        </is>
      </c>
      <c r="C92" t="inlineStr"/>
      <c r="D92" t="inlineStr">
        <is>
          <t>GO. CALENDARS,G 6411.00 BURLESON ROAD AUSTIN TX</t>
        </is>
      </c>
      <c r="E92" t="inlineStr"/>
      <c r="F92" t="inlineStr">
        <is>
          <t>0</t>
        </is>
      </c>
      <c r="G92" t="n">
        <v>34.62</v>
      </c>
    </row>
    <row r="93">
      <c r="A93" t="inlineStr"/>
      <c r="B93" t="inlineStr">
        <is>
          <t>2025-12-05 00:00:00</t>
        </is>
      </c>
      <c r="C93" t="inlineStr"/>
      <c r="D93" t="inlineStr">
        <is>
          <t>Guideline Retire</t>
        </is>
      </c>
      <c r="E93" t="inlineStr"/>
      <c r="F93" t="inlineStr">
        <is>
          <t>0</t>
        </is>
      </c>
      <c r="G93" t="n">
        <v>705</v>
      </c>
    </row>
    <row r="94">
      <c r="A94" t="inlineStr"/>
      <c r="B94" t="inlineStr">
        <is>
          <t>2025-10-06 00:00:00</t>
        </is>
      </c>
      <c r="C94" t="inlineStr"/>
      <c r="D94" t="inlineStr">
        <is>
          <t>Guideline Retire</t>
        </is>
      </c>
      <c r="E94" t="inlineStr"/>
      <c r="F94" t="inlineStr">
        <is>
          <t>0</t>
        </is>
      </c>
      <c r="G94" t="n">
        <v>713</v>
      </c>
    </row>
    <row r="95">
      <c r="A95" t="inlineStr"/>
      <c r="B95" t="inlineStr">
        <is>
          <t>2025-11-05 00:00:00</t>
        </is>
      </c>
      <c r="C95" t="inlineStr"/>
      <c r="D95" t="inlineStr">
        <is>
          <t>Guideline Retire</t>
        </is>
      </c>
      <c r="E95" t="inlineStr"/>
      <c r="F95" t="inlineStr">
        <is>
          <t>0</t>
        </is>
      </c>
      <c r="G95" t="n">
        <v>713</v>
      </c>
    </row>
    <row r="96">
      <c r="A96" t="inlineStr"/>
      <c r="B96" t="inlineStr">
        <is>
          <t>2025-11-25 00:00:00</t>
        </is>
      </c>
      <c r="C96" t="inlineStr"/>
      <c r="D96" t="inlineStr">
        <is>
          <t>Hadley's Fruit Orchard</t>
        </is>
      </c>
      <c r="E96" t="inlineStr"/>
      <c r="F96" t="inlineStr">
        <is>
          <t>0</t>
        </is>
      </c>
      <c r="G96" t="n">
        <v>105.41</v>
      </c>
    </row>
    <row r="97">
      <c r="A97" t="inlineStr"/>
      <c r="B97" t="inlineStr">
        <is>
          <t>2025-12-23 00:00:00</t>
        </is>
      </c>
      <c r="C97" t="inlineStr"/>
      <c r="D97" t="inlineStr">
        <is>
          <t>Little Caesars</t>
        </is>
      </c>
      <c r="E97" t="inlineStr"/>
      <c r="F97" t="inlineStr">
        <is>
          <t>0</t>
        </is>
      </c>
      <c r="G97" t="n">
        <v>2.16</v>
      </c>
    </row>
    <row r="98">
      <c r="A98" t="inlineStr"/>
      <c r="B98" t="inlineStr">
        <is>
          <t>2025-12-23 00:00:00</t>
        </is>
      </c>
      <c r="C98" t="inlineStr"/>
      <c r="D98" t="inlineStr">
        <is>
          <t>Little Caesars</t>
        </is>
      </c>
      <c r="E98" t="inlineStr"/>
      <c r="F98" t="inlineStr">
        <is>
          <t>0</t>
        </is>
      </c>
      <c r="G98" t="n">
        <v>31.19</v>
      </c>
    </row>
    <row r="99">
      <c r="A99" t="inlineStr"/>
      <c r="B99" t="inlineStr">
        <is>
          <t>2025-10-03 00:00:00</t>
        </is>
      </c>
      <c r="C99" t="inlineStr"/>
      <c r="D99" t="inlineStr">
        <is>
          <t>Shell</t>
        </is>
      </c>
      <c r="E99" t="inlineStr"/>
      <c r="F99" t="inlineStr">
        <is>
          <t>0</t>
        </is>
      </c>
      <c r="G99" t="n">
        <v>18995.29</v>
      </c>
    </row>
    <row r="100">
      <c r="A100" t="inlineStr"/>
      <c r="B100" t="inlineStr">
        <is>
          <t>2025-11-04 00:00:00</t>
        </is>
      </c>
      <c r="C100" t="inlineStr"/>
      <c r="D100" t="inlineStr">
        <is>
          <t>Shell</t>
        </is>
      </c>
      <c r="E100" t="inlineStr"/>
      <c r="F100" t="inlineStr">
        <is>
          <t>0</t>
        </is>
      </c>
      <c r="G100" t="n">
        <v>18995.29</v>
      </c>
    </row>
    <row r="101">
      <c r="A101" t="inlineStr"/>
      <c r="B101" t="inlineStr">
        <is>
          <t>2025-12-08 00:00:00</t>
        </is>
      </c>
      <c r="C101" t="inlineStr"/>
      <c r="D101" t="inlineStr">
        <is>
          <t>Shell</t>
        </is>
      </c>
      <c r="E101" t="inlineStr"/>
      <c r="F101" t="inlineStr">
        <is>
          <t>0</t>
        </is>
      </c>
      <c r="G101" t="n">
        <v>18995.29</v>
      </c>
    </row>
    <row r="102">
      <c r="A102" t="inlineStr"/>
      <c r="B102" t="inlineStr">
        <is>
          <t>2025-10-02 00:00:00</t>
        </is>
      </c>
      <c r="C102" t="inlineStr"/>
      <c r="D102" t="inlineStr">
        <is>
          <t>NORTHWESTERN MU TYPE: ISA PYMENT CO: NORTHWESTERN MU Entry Class Code: PPD</t>
        </is>
      </c>
      <c r="E102" t="inlineStr"/>
      <c r="F102" t="inlineStr">
        <is>
          <t>0</t>
        </is>
      </c>
      <c r="G102" t="n">
        <v>258.35</v>
      </c>
    </row>
    <row r="103">
      <c r="A103" t="inlineStr"/>
      <c r="B103" t="inlineStr">
        <is>
          <t>2025-11-04 00:00:00</t>
        </is>
      </c>
      <c r="C103" t="inlineStr"/>
      <c r="D103" t="inlineStr">
        <is>
          <t>NORTHWESTERN MU TYPE: ISA PYMENT CO: NORTHWESTERN MU Entry Class Code: PPD</t>
        </is>
      </c>
      <c r="E103" t="inlineStr"/>
      <c r="F103" t="inlineStr">
        <is>
          <t>0</t>
        </is>
      </c>
      <c r="G103" t="n">
        <v>258.35</v>
      </c>
    </row>
    <row r="104">
      <c r="A104" t="inlineStr"/>
      <c r="B104" t="inlineStr">
        <is>
          <t>2025-12-02 00:00:00</t>
        </is>
      </c>
      <c r="C104" t="inlineStr"/>
      <c r="D104" t="inlineStr">
        <is>
          <t>NORTHWESTERN MU TYPE: ISA PYMENT CO: NORTHWESTERN MU Entry Class Code: PPD</t>
        </is>
      </c>
      <c r="E104" t="inlineStr"/>
      <c r="F104" t="inlineStr">
        <is>
          <t>0</t>
        </is>
      </c>
      <c r="G104" t="n">
        <v>258.35</v>
      </c>
    </row>
    <row r="105">
      <c r="A105" t="inlineStr"/>
      <c r="B105" t="inlineStr">
        <is>
          <t>2025-10-07 00:00:00</t>
        </is>
      </c>
      <c r="C105" t="inlineStr"/>
      <c r="D105" t="inlineStr">
        <is>
          <t>NSM DBAMR.COOPER TYPE: NSM DBAMR CO: NSM DBAMR.COOPER NAME: JAVIER *LOPEZ Entry Class Code: WEB</t>
        </is>
      </c>
      <c r="E105" t="inlineStr"/>
      <c r="F105" t="inlineStr">
        <is>
          <t>0</t>
        </is>
      </c>
      <c r="G105" t="n">
        <v>3306.48</v>
      </c>
    </row>
    <row r="106">
      <c r="A106" t="inlineStr"/>
      <c r="B106" t="inlineStr">
        <is>
          <t>2025-11-07 00:00:00</t>
        </is>
      </c>
      <c r="C106" t="inlineStr"/>
      <c r="D106" t="inlineStr">
        <is>
          <t>NSM DBAMR.COOPER TYPE: NSM DBAMR CO: NSM DBAMR.COOPER NAME: JAVIER *LOPEZ Entry Class Code: WEB</t>
        </is>
      </c>
      <c r="E106" t="inlineStr"/>
      <c r="F106" t="inlineStr">
        <is>
          <t>0</t>
        </is>
      </c>
      <c r="G106" t="n">
        <v>3306.48</v>
      </c>
    </row>
    <row r="107">
      <c r="A107" t="inlineStr"/>
      <c r="B107" t="inlineStr">
        <is>
          <t>2025-12-08 00:00:00</t>
        </is>
      </c>
      <c r="C107" t="inlineStr"/>
      <c r="D107" t="inlineStr">
        <is>
          <t>NSM DBAMR.COOPER TYPE: NSM DBAMR CO: NSM DBAMR.COOPER NAME: JAVIER *LOPEZ Entry Class Code: WEB</t>
        </is>
      </c>
      <c r="E107" t="inlineStr"/>
      <c r="F107" t="inlineStr">
        <is>
          <t>0</t>
        </is>
      </c>
      <c r="G107" t="n">
        <v>3306.48</v>
      </c>
    </row>
    <row r="108">
      <c r="A108" t="inlineStr"/>
      <c r="B108" t="inlineStr">
        <is>
          <t>2025-12-29 00:00:00</t>
        </is>
      </c>
      <c r="C108" t="inlineStr"/>
      <c r="D108" t="inlineStr">
        <is>
          <t>OLSON DUNCAN INS TYPE: J2750 OOFF CO: OLSON DUNCAN INS Entry Class Code: CCD</t>
        </is>
      </c>
      <c r="E108" t="inlineStr"/>
      <c r="F108" t="inlineStr">
        <is>
          <t>0</t>
        </is>
      </c>
      <c r="G108" t="n">
        <v>5287.21</v>
      </c>
    </row>
    <row r="109">
      <c r="A109" t="inlineStr"/>
      <c r="B109" t="inlineStr">
        <is>
          <t>2025-10-21 00:00:00</t>
        </is>
      </c>
      <c r="C109" t="inlineStr"/>
      <c r="D109" t="inlineStr">
        <is>
          <t>Paypal</t>
        </is>
      </c>
      <c r="E109" t="inlineStr"/>
      <c r="F109" t="inlineStr">
        <is>
          <t>0</t>
        </is>
      </c>
      <c r="G109" t="n">
        <v>10.99</v>
      </c>
    </row>
    <row r="110">
      <c r="A110" t="inlineStr"/>
      <c r="B110" t="inlineStr">
        <is>
          <t>2025-11-21 00:00:00</t>
        </is>
      </c>
      <c r="C110" t="inlineStr"/>
      <c r="D110" t="inlineStr">
        <is>
          <t>Paypal</t>
        </is>
      </c>
      <c r="E110" t="inlineStr"/>
      <c r="F110" t="inlineStr">
        <is>
          <t>0</t>
        </is>
      </c>
      <c r="G110" t="n">
        <v>12.99</v>
      </c>
    </row>
    <row r="111">
      <c r="A111" t="inlineStr"/>
      <c r="B111" t="inlineStr">
        <is>
          <t>2025-12-22 00:00:00</t>
        </is>
      </c>
      <c r="C111" t="inlineStr"/>
      <c r="D111" t="inlineStr">
        <is>
          <t>Paypal</t>
        </is>
      </c>
      <c r="E111" t="inlineStr"/>
      <c r="F111" t="inlineStr">
        <is>
          <t>0</t>
        </is>
      </c>
      <c r="G111" t="n">
        <v>12.99</v>
      </c>
    </row>
    <row r="112">
      <c r="A112" t="inlineStr"/>
      <c r="B112" t="inlineStr">
        <is>
          <t>2025-12-02 00:00:00</t>
        </is>
      </c>
      <c r="C112" t="inlineStr"/>
      <c r="D112" t="inlineStr">
        <is>
          <t>Paypal</t>
        </is>
      </c>
      <c r="E112" t="inlineStr"/>
      <c r="F112" t="inlineStr">
        <is>
          <t>0</t>
        </is>
      </c>
      <c r="G112" t="n">
        <v>16.57</v>
      </c>
    </row>
    <row r="113">
      <c r="A113" t="inlineStr"/>
      <c r="B113" t="inlineStr">
        <is>
          <t>2025-12-26 00:00:00</t>
        </is>
      </c>
      <c r="C113" t="inlineStr"/>
      <c r="D113" t="inlineStr">
        <is>
          <t>Paypal</t>
        </is>
      </c>
      <c r="E113" t="inlineStr"/>
      <c r="F113" t="inlineStr">
        <is>
          <t>0</t>
        </is>
      </c>
      <c r="G113" t="n">
        <v>75.3</v>
      </c>
    </row>
    <row r="114">
      <c r="A114" t="inlineStr"/>
      <c r="B114" t="inlineStr">
        <is>
          <t>2025-10-28 00:00:00</t>
        </is>
      </c>
      <c r="C114" t="inlineStr"/>
      <c r="D114" t="inlineStr">
        <is>
          <t>Paypal</t>
        </is>
      </c>
      <c r="E114" t="inlineStr"/>
      <c r="F114" t="inlineStr">
        <is>
          <t>0</t>
        </is>
      </c>
      <c r="G114" t="n">
        <v>1000</v>
      </c>
    </row>
    <row r="115">
      <c r="A115" t="inlineStr"/>
      <c r="B115" t="inlineStr">
        <is>
          <t>2025-11-04 00:00:00</t>
        </is>
      </c>
      <c r="C115" t="inlineStr"/>
      <c r="D115" t="inlineStr">
        <is>
          <t>PLIC-SBD TYPE: INSUR CLM CO: PLIC-SBD Entry Class Code: CCD</t>
        </is>
      </c>
      <c r="E115" t="inlineStr"/>
      <c r="F115" t="inlineStr">
        <is>
          <t>0</t>
        </is>
      </c>
      <c r="G115" t="n">
        <v>141.2</v>
      </c>
    </row>
    <row r="116">
      <c r="A116" t="inlineStr"/>
      <c r="B116" t="inlineStr">
        <is>
          <t>2025-12-02 00:00:00</t>
        </is>
      </c>
      <c r="C116" t="inlineStr"/>
      <c r="D116" t="inlineStr">
        <is>
          <t>PLIC-SBD TYPE: INSUR CLM CO: PLIC-SBD Entry Class Code: CCD</t>
        </is>
      </c>
      <c r="E116" t="inlineStr"/>
      <c r="F116" t="inlineStr">
        <is>
          <t>0</t>
        </is>
      </c>
      <c r="G116" t="n">
        <v>141.2</v>
      </c>
    </row>
    <row r="117">
      <c r="A117" t="inlineStr"/>
      <c r="B117" t="inlineStr">
        <is>
          <t>2025-10-02 00:00:00</t>
        </is>
      </c>
      <c r="C117" t="inlineStr"/>
      <c r="D117" t="inlineStr">
        <is>
          <t>PLIC-SBD TYPE: INSUR CLM CO: PLIC-SBD Entry Class Code: CCD</t>
        </is>
      </c>
      <c r="E117" t="inlineStr"/>
      <c r="F117" t="inlineStr">
        <is>
          <t>0</t>
        </is>
      </c>
      <c r="G117" t="n">
        <v>148.26</v>
      </c>
    </row>
    <row r="118">
      <c r="A118" t="inlineStr"/>
      <c r="B118" t="inlineStr">
        <is>
          <t>2025-10-29 00:00:00</t>
        </is>
      </c>
      <c r="C118" t="inlineStr"/>
      <c r="D118" t="inlineStr">
        <is>
          <t>PNC BANK TYPE: ACCTVERIFY CO: PNC BANK NAME: ASSURE BEHAVIORALSER Entry Class Code: WEB</t>
        </is>
      </c>
      <c r="E118" t="inlineStr"/>
      <c r="F118" t="inlineStr">
        <is>
          <t>0</t>
        </is>
      </c>
      <c r="G118" t="n">
        <v>0.48</v>
      </c>
    </row>
    <row r="119">
      <c r="A119" t="inlineStr"/>
      <c r="B119" t="inlineStr">
        <is>
          <t>2025-12-02 00:00:00</t>
        </is>
      </c>
      <c r="C119" t="inlineStr"/>
      <c r="D119" t="inlineStr">
        <is>
          <t>PNC LENDING TYPE: PAYMENT CO: PNC LENDING NAME: ASSURE BEHAVIORAL SE Entry Class Code: WEB</t>
        </is>
      </c>
      <c r="E119" t="inlineStr"/>
      <c r="F119" t="inlineStr">
        <is>
          <t>0</t>
        </is>
      </c>
      <c r="G119" t="n">
        <v>52.11</v>
      </c>
    </row>
    <row r="120">
      <c r="A120" t="inlineStr"/>
      <c r="B120" t="inlineStr">
        <is>
          <t>2025-11-04 00:00:00</t>
        </is>
      </c>
      <c r="C120" t="inlineStr"/>
      <c r="D120" t="inlineStr">
        <is>
          <t>PNC LENDING TYPE: PAYMENT CO: PNC LENDING NAME: ASSURE BEHAVIORAL SE Entry Class Code: WEB</t>
        </is>
      </c>
      <c r="E120" t="inlineStr"/>
      <c r="F120" t="inlineStr">
        <is>
          <t>0</t>
        </is>
      </c>
      <c r="G120" t="n">
        <v>100</v>
      </c>
    </row>
    <row r="121">
      <c r="A121" t="inlineStr"/>
      <c r="B121" t="inlineStr">
        <is>
          <t>2025-10-31 00:00:00</t>
        </is>
      </c>
      <c r="C121" t="inlineStr"/>
      <c r="D121" t="inlineStr">
        <is>
          <t>PNC LENDING TYPE: PAYMENT CO: PNC LENDING NAME: ASSURE BEHAVIORAL SE Entry Class Code: WEB</t>
        </is>
      </c>
      <c r="E121" t="inlineStr"/>
      <c r="F121" t="inlineStr">
        <is>
          <t>0</t>
        </is>
      </c>
      <c r="G121" t="n">
        <v>6000</v>
      </c>
    </row>
    <row r="122">
      <c r="A122" t="inlineStr"/>
      <c r="B122" t="inlineStr">
        <is>
          <t>2025-11-25 00:00:00</t>
        </is>
      </c>
      <c r="C122" t="inlineStr"/>
      <c r="D122" t="inlineStr">
        <is>
          <t>PNC LENDING TYPE: PAYMENT CO: PNC LENDING NAME: ASSURE BEHAVIORAL SE Entry Class Code: WEB</t>
        </is>
      </c>
      <c r="E122" t="inlineStr"/>
      <c r="F122" t="inlineStr">
        <is>
          <t>0</t>
        </is>
      </c>
      <c r="G122" t="n">
        <v>12464.38</v>
      </c>
    </row>
    <row r="123">
      <c r="A123" t="inlineStr"/>
      <c r="B123" t="inlineStr">
        <is>
          <t>2025-12-23 00:00:00</t>
        </is>
      </c>
      <c r="C123" t="inlineStr"/>
      <c r="D123" t="inlineStr">
        <is>
          <t>PNCBK CK WEBXFR TYPE: TRANSFER CO: PNCBK CK WEBXFR Entry Class Code: CTX</t>
        </is>
      </c>
      <c r="E123" t="inlineStr"/>
      <c r="F123" t="inlineStr">
        <is>
          <t>0</t>
        </is>
      </c>
      <c r="G123" t="n">
        <v>5000</v>
      </c>
    </row>
    <row r="124">
      <c r="A124" t="inlineStr"/>
      <c r="B124" t="inlineStr">
        <is>
          <t>2025-11-25 00:00:00</t>
        </is>
      </c>
      <c r="C124" t="inlineStr"/>
      <c r="D124" t="inlineStr">
        <is>
          <t>RIVERSDE UTILITY TYPE: WEB_PAY CO: RIVERSDE UTILITY NAME: JAVIER LOPEZ Entry Class Code: WEB</t>
        </is>
      </c>
      <c r="E124" t="inlineStr"/>
      <c r="F124" t="inlineStr">
        <is>
          <t>0</t>
        </is>
      </c>
      <c r="G124" t="n">
        <v>469.4</v>
      </c>
    </row>
    <row r="125">
      <c r="A125" t="inlineStr"/>
      <c r="B125" t="inlineStr">
        <is>
          <t>2025-12-12 00:00:00</t>
        </is>
      </c>
      <c r="C125" t="inlineStr"/>
      <c r="D125" t="inlineStr">
        <is>
          <t>SAET BYUL ASIAN 9555 MAGNOLIA AVE ST RIVERSIDE CA Date 12/11/25 5.00 293439890 2 5499.00</t>
        </is>
      </c>
      <c r="E125" t="inlineStr"/>
      <c r="F125" t="inlineStr">
        <is>
          <t>0</t>
        </is>
      </c>
      <c r="G125" t="n">
        <v>96.05</v>
      </c>
    </row>
    <row r="126">
      <c r="A126" t="inlineStr"/>
      <c r="B126" t="inlineStr">
        <is>
          <t>2025-12-11 00:00:00</t>
        </is>
      </c>
      <c r="C126" t="inlineStr"/>
      <c r="D126" t="inlineStr">
        <is>
          <t>SAN BERNARDINO TYPE: TAX COLL. CO: SAN BERNARDINO Entry Class Code: CCD</t>
        </is>
      </c>
      <c r="E126" t="inlineStr"/>
      <c r="F126" t="inlineStr">
        <is>
          <t>0</t>
        </is>
      </c>
      <c r="G126" t="n">
        <v>3237.29</v>
      </c>
    </row>
    <row r="127">
      <c r="A127" t="inlineStr"/>
      <c r="B127" t="inlineStr">
        <is>
          <t>2025-12-10 00:00:00</t>
        </is>
      </c>
      <c r="C127" t="inlineStr"/>
      <c r="D127" t="inlineStr">
        <is>
          <t>Shell</t>
        </is>
      </c>
      <c r="E127" t="inlineStr"/>
      <c r="F127" t="inlineStr">
        <is>
          <t>0</t>
        </is>
      </c>
      <c r="G127" t="n">
        <v>18.91</v>
      </c>
    </row>
    <row r="128">
      <c r="A128" t="inlineStr"/>
      <c r="B128" t="inlineStr">
        <is>
          <t>2025-12-10 00:00:00</t>
        </is>
      </c>
      <c r="C128" t="inlineStr"/>
      <c r="D128" t="inlineStr">
        <is>
          <t>So Cal Edison</t>
        </is>
      </c>
      <c r="E128" t="inlineStr"/>
      <c r="F128" t="inlineStr">
        <is>
          <t>0</t>
        </is>
      </c>
      <c r="G128" t="n">
        <v>25.05</v>
      </c>
    </row>
    <row r="129">
      <c r="A129" t="inlineStr"/>
      <c r="B129" t="inlineStr">
        <is>
          <t>2025-11-04 00:00:00</t>
        </is>
      </c>
      <c r="C129" t="inlineStr"/>
      <c r="D129" t="inlineStr">
        <is>
          <t>So Cal Edison</t>
        </is>
      </c>
      <c r="E129" t="inlineStr"/>
      <c r="F129" t="inlineStr">
        <is>
          <t>0</t>
        </is>
      </c>
      <c r="G129" t="n">
        <v>23.27</v>
      </c>
    </row>
    <row r="130">
      <c r="A130" t="inlineStr"/>
      <c r="B130" t="inlineStr">
        <is>
          <t>2025-11-04 00:00:00</t>
        </is>
      </c>
      <c r="C130" t="inlineStr"/>
      <c r="D130" t="inlineStr">
        <is>
          <t>So Cal Edison</t>
        </is>
      </c>
      <c r="E130" t="inlineStr"/>
      <c r="F130" t="inlineStr">
        <is>
          <t>0</t>
        </is>
      </c>
      <c r="G130" t="n">
        <v>49.94</v>
      </c>
    </row>
    <row r="131">
      <c r="A131" t="inlineStr"/>
      <c r="B131" t="inlineStr">
        <is>
          <t>2025-12-10 00:00:00</t>
        </is>
      </c>
      <c r="C131" t="inlineStr"/>
      <c r="D131" t="inlineStr">
        <is>
          <t>So Cal Edison</t>
        </is>
      </c>
      <c r="E131" t="inlineStr"/>
      <c r="F131" t="inlineStr">
        <is>
          <t>0</t>
        </is>
      </c>
      <c r="G131" t="n">
        <v>111.35</v>
      </c>
    </row>
    <row r="132">
      <c r="A132" t="inlineStr"/>
      <c r="B132" t="inlineStr">
        <is>
          <t>2025-10-03 00:00:00</t>
        </is>
      </c>
      <c r="C132" t="inlineStr"/>
      <c r="D132" t="inlineStr">
        <is>
          <t>So Cal Edison</t>
        </is>
      </c>
      <c r="E132" t="inlineStr"/>
      <c r="F132" t="inlineStr">
        <is>
          <t>0</t>
        </is>
      </c>
      <c r="G132" t="n">
        <v>125.53</v>
      </c>
    </row>
    <row r="133">
      <c r="A133" t="inlineStr"/>
      <c r="B133" t="inlineStr">
        <is>
          <t>2025-10-03 00:00:00</t>
        </is>
      </c>
      <c r="C133" t="inlineStr"/>
      <c r="D133" t="inlineStr">
        <is>
          <t>So Cal Edison</t>
        </is>
      </c>
      <c r="E133" t="inlineStr"/>
      <c r="F133" t="inlineStr">
        <is>
          <t>0</t>
        </is>
      </c>
      <c r="G133" t="n">
        <v>547.21</v>
      </c>
    </row>
    <row r="134">
      <c r="A134" t="inlineStr"/>
      <c r="B134" t="inlineStr">
        <is>
          <t>2025-12-10 00:00:00</t>
        </is>
      </c>
      <c r="C134" t="inlineStr"/>
      <c r="D134" t="inlineStr">
        <is>
          <t>So Cal Edison</t>
        </is>
      </c>
      <c r="E134" t="inlineStr"/>
      <c r="F134" t="inlineStr">
        <is>
          <t>0</t>
        </is>
      </c>
      <c r="G134" t="n">
        <v>604.09</v>
      </c>
    </row>
    <row r="135">
      <c r="A135" t="inlineStr"/>
      <c r="B135" t="inlineStr">
        <is>
          <t>2025-11-04 00:00:00</t>
        </is>
      </c>
      <c r="C135" t="inlineStr"/>
      <c r="D135" t="inlineStr">
        <is>
          <t>So Cal Edison</t>
        </is>
      </c>
      <c r="E135" t="inlineStr"/>
      <c r="F135" t="inlineStr">
        <is>
          <t>0</t>
        </is>
      </c>
      <c r="G135" t="n">
        <v>692.42</v>
      </c>
    </row>
    <row r="136">
      <c r="A136" t="inlineStr"/>
      <c r="B136" t="inlineStr">
        <is>
          <t>2025-10-03 00:00:00</t>
        </is>
      </c>
      <c r="C136" t="inlineStr"/>
      <c r="D136" t="inlineStr">
        <is>
          <t>So Cal Edison</t>
        </is>
      </c>
      <c r="E136" t="inlineStr"/>
      <c r="F136" t="inlineStr">
        <is>
          <t>0</t>
        </is>
      </c>
      <c r="G136" t="n">
        <v>1174.29</v>
      </c>
    </row>
    <row r="137">
      <c r="A137" t="inlineStr"/>
      <c r="B137" t="inlineStr">
        <is>
          <t>2025-10-28 00:00:00</t>
        </is>
      </c>
      <c r="C137" t="inlineStr"/>
      <c r="D137" t="inlineStr">
        <is>
          <t>So Cal Edison</t>
        </is>
      </c>
      <c r="E137" t="inlineStr"/>
      <c r="F137" t="inlineStr">
        <is>
          <t>0</t>
        </is>
      </c>
      <c r="G137" t="n">
        <v>459.16</v>
      </c>
    </row>
    <row r="138">
      <c r="A138" t="inlineStr"/>
      <c r="B138" t="inlineStr">
        <is>
          <t>2025-10-14 00:00:00</t>
        </is>
      </c>
      <c r="C138" t="inlineStr"/>
      <c r="D138" t="inlineStr">
        <is>
          <t>SoCalGas TYPE: PAID SCGC CO: SoCalGas NAME: 301601474297233154.00 Entry Class Code: WEB</t>
        </is>
      </c>
      <c r="E138" t="inlineStr"/>
      <c r="F138" t="inlineStr">
        <is>
          <t>0</t>
        </is>
      </c>
      <c r="G138" t="n">
        <v>36.48</v>
      </c>
    </row>
    <row r="139">
      <c r="A139" t="inlineStr"/>
      <c r="B139" t="inlineStr">
        <is>
          <t>2025-11-20 00:00:00</t>
        </is>
      </c>
      <c r="C139" t="inlineStr"/>
      <c r="D139" t="inlineStr">
        <is>
          <t>Spectrum</t>
        </is>
      </c>
      <c r="E139" t="inlineStr"/>
      <c r="F139" t="inlineStr">
        <is>
          <t>0</t>
        </is>
      </c>
      <c r="G139" t="n">
        <v>31.24</v>
      </c>
    </row>
    <row r="140">
      <c r="A140" t="inlineStr"/>
      <c r="B140" t="inlineStr">
        <is>
          <t>2025-10-20 00:00:00</t>
        </is>
      </c>
      <c r="C140" t="inlineStr"/>
      <c r="D140" t="inlineStr">
        <is>
          <t>Spectrum</t>
        </is>
      </c>
      <c r="E140" t="inlineStr"/>
      <c r="F140" t="inlineStr">
        <is>
          <t>0</t>
        </is>
      </c>
      <c r="G140" t="n">
        <v>31.24</v>
      </c>
    </row>
    <row r="141">
      <c r="A141" t="inlineStr"/>
      <c r="B141" t="inlineStr">
        <is>
          <t>2025-12-20 00:00:00</t>
        </is>
      </c>
      <c r="C141" t="inlineStr"/>
      <c r="D141" t="inlineStr">
        <is>
          <t>Spectrum</t>
        </is>
      </c>
      <c r="E141" t="inlineStr"/>
      <c r="F141" t="inlineStr">
        <is>
          <t>0</t>
        </is>
      </c>
      <c r="G141" t="n">
        <v>31.24</v>
      </c>
    </row>
    <row r="142">
      <c r="A142" t="inlineStr"/>
      <c r="B142" t="inlineStr">
        <is>
          <t>2025-12-08 00:00:00</t>
        </is>
      </c>
      <c r="C142" t="inlineStr"/>
      <c r="D142" t="inlineStr">
        <is>
          <t>SQ *SHAKE SHACK 1201 Lake Woodlands Dr. The Woodlands TX Date 12/08/25 6.00 203569446 8 5814.00</t>
        </is>
      </c>
      <c r="E142" t="inlineStr"/>
      <c r="F142" t="inlineStr">
        <is>
          <t>0</t>
        </is>
      </c>
      <c r="G142" t="n">
        <v>40.11</v>
      </c>
    </row>
    <row r="143">
      <c r="A143" t="inlineStr"/>
      <c r="B143" t="inlineStr">
        <is>
          <t>2025-11-12 00:00:00</t>
        </is>
      </c>
      <c r="C143" t="inlineStr"/>
      <c r="D143" t="inlineStr">
        <is>
          <t>SSBTRUSTOPS TYPE: P/R Contr CO: SSBTRUSTOPS Entry Class Code: CCD</t>
        </is>
      </c>
      <c r="E143" t="inlineStr"/>
      <c r="F143" t="inlineStr">
        <is>
          <t>0</t>
        </is>
      </c>
      <c r="G143" t="n">
        <v>52.78</v>
      </c>
    </row>
    <row r="144">
      <c r="A144" t="inlineStr"/>
      <c r="B144" t="inlineStr">
        <is>
          <t>2025-10-28 00:00:00</t>
        </is>
      </c>
      <c r="C144" t="inlineStr"/>
      <c r="D144" t="inlineStr">
        <is>
          <t>SSBTRUSTOPS TYPE: P/R Contr CO: SSBTRUSTOPS Entry Class Code: CCD</t>
        </is>
      </c>
      <c r="E144" t="inlineStr"/>
      <c r="F144" t="inlineStr">
        <is>
          <t>0</t>
        </is>
      </c>
      <c r="G144" t="n">
        <v>72.42</v>
      </c>
    </row>
    <row r="145">
      <c r="A145" t="inlineStr"/>
      <c r="B145" t="inlineStr">
        <is>
          <t>2025-11-25 00:00:00</t>
        </is>
      </c>
      <c r="C145" t="inlineStr"/>
      <c r="D145" t="inlineStr">
        <is>
          <t>SSBTRUSTOPS TYPE: P/R Contr CO: SSBTRUSTOPS Entry Class Code: CCD</t>
        </is>
      </c>
      <c r="E145" t="inlineStr"/>
      <c r="F145" t="inlineStr">
        <is>
          <t>0</t>
        </is>
      </c>
      <c r="G145" t="n">
        <v>73.72</v>
      </c>
    </row>
    <row r="146">
      <c r="A146" t="inlineStr"/>
      <c r="B146" t="inlineStr">
        <is>
          <t>2025-12-22 00:00:00</t>
        </is>
      </c>
      <c r="C146" t="inlineStr"/>
      <c r="D146" t="inlineStr">
        <is>
          <t>SSBTRUSTOPS TYPE: P/R Contr CO: SSBTRUSTOPS Entry Class Code: CCD</t>
        </is>
      </c>
      <c r="E146" t="inlineStr"/>
      <c r="F146" t="inlineStr">
        <is>
          <t>0</t>
        </is>
      </c>
      <c r="G146" t="n">
        <v>89.70999999999999</v>
      </c>
    </row>
    <row r="147">
      <c r="A147" t="inlineStr"/>
      <c r="B147" t="inlineStr">
        <is>
          <t>2025-10-20 00:00:00</t>
        </is>
      </c>
      <c r="C147" t="inlineStr"/>
      <c r="D147" t="inlineStr">
        <is>
          <t>SSBTRUSTOPS TYPE: P/R Contr CO: SSBTRUSTOPS Entry Class Code: CCD</t>
        </is>
      </c>
      <c r="E147" t="inlineStr"/>
      <c r="F147" t="inlineStr">
        <is>
          <t>0</t>
        </is>
      </c>
      <c r="G147" t="n">
        <v>118.04</v>
      </c>
    </row>
    <row r="148">
      <c r="A148" t="inlineStr"/>
      <c r="B148" t="inlineStr">
        <is>
          <t>2025-11-18 00:00:00</t>
        </is>
      </c>
      <c r="C148" t="inlineStr"/>
      <c r="D148" t="inlineStr">
        <is>
          <t>SSBTRUSTOPS TYPE: P/R Contr CO: SSBTRUSTOPS Entry Class Code: CCD</t>
        </is>
      </c>
      <c r="E148" t="inlineStr"/>
      <c r="F148" t="inlineStr">
        <is>
          <t>0</t>
        </is>
      </c>
      <c r="G148" t="n">
        <v>5051.03</v>
      </c>
    </row>
    <row r="149">
      <c r="A149" t="inlineStr"/>
      <c r="B149" t="inlineStr">
        <is>
          <t>2025-12-19 00:00:00</t>
        </is>
      </c>
      <c r="C149" t="inlineStr"/>
      <c r="D149" t="inlineStr">
        <is>
          <t>SSBTRUSTOPS TYPE: P/R Contr CO: SSBTRUSTOPS Entry Class Code: CCD</t>
        </is>
      </c>
      <c r="E149" t="inlineStr"/>
      <c r="F149" t="inlineStr">
        <is>
          <t>0</t>
        </is>
      </c>
      <c r="G149" t="n">
        <v>5343.45</v>
      </c>
    </row>
    <row r="150">
      <c r="A150" t="inlineStr"/>
      <c r="B150" t="inlineStr">
        <is>
          <t>2025-12-05 00:00:00</t>
        </is>
      </c>
      <c r="C150" t="inlineStr"/>
      <c r="D150" t="inlineStr">
        <is>
          <t>SSBTRUSTOPS TYPE: P/R Contr CO: SSBTRUSTOPS Entry Class Code: CCD</t>
        </is>
      </c>
      <c r="E150" t="inlineStr"/>
      <c r="F150" t="inlineStr">
        <is>
          <t>0</t>
        </is>
      </c>
      <c r="G150" t="n">
        <v>5464.17</v>
      </c>
    </row>
    <row r="151">
      <c r="A151" t="inlineStr"/>
      <c r="B151" t="inlineStr">
        <is>
          <t>2025-11-04 00:00:00</t>
        </is>
      </c>
      <c r="C151" t="inlineStr"/>
      <c r="D151" t="inlineStr">
        <is>
          <t>SSBTRUSTOPS TYPE: P/R Contr CO: SSBTRUSTOPS Entry Class Code: CCD</t>
        </is>
      </c>
      <c r="E151" t="inlineStr"/>
      <c r="F151" t="inlineStr">
        <is>
          <t>0</t>
        </is>
      </c>
      <c r="G151" t="n">
        <v>7211.8</v>
      </c>
    </row>
    <row r="152">
      <c r="A152" t="inlineStr"/>
      <c r="B152" t="inlineStr">
        <is>
          <t>2025-10-21 00:00:00</t>
        </is>
      </c>
      <c r="C152" t="inlineStr"/>
      <c r="D152" t="inlineStr">
        <is>
          <t>SSBTRUSTOPS TYPE: P/R Contr CO: SSBTRUSTOPS Entry Class Code: CCD</t>
        </is>
      </c>
      <c r="E152" t="inlineStr"/>
      <c r="F152" t="inlineStr">
        <is>
          <t>0</t>
        </is>
      </c>
      <c r="G152" t="n">
        <v>7471.17</v>
      </c>
    </row>
    <row r="153">
      <c r="A153" t="inlineStr"/>
      <c r="B153" t="inlineStr">
        <is>
          <t>2025-10-07 00:00:00</t>
        </is>
      </c>
      <c r="C153" t="inlineStr"/>
      <c r="D153" t="inlineStr">
        <is>
          <t>SSBTRUSTOPS TYPE: P/R Contr CO: SSBTRUSTOPS Entry Class Code: CCD</t>
        </is>
      </c>
      <c r="E153" t="inlineStr"/>
      <c r="F153" t="inlineStr">
        <is>
          <t>0</t>
        </is>
      </c>
      <c r="G153" t="n">
        <v>8838.74</v>
      </c>
    </row>
    <row r="154">
      <c r="A154" t="inlineStr"/>
      <c r="B154" t="inlineStr">
        <is>
          <t>2025-11-25 00:00:00</t>
        </is>
      </c>
      <c r="C154" t="inlineStr"/>
      <c r="D154" t="inlineStr">
        <is>
          <t>Target</t>
        </is>
      </c>
      <c r="E154" t="inlineStr"/>
      <c r="F154" t="inlineStr">
        <is>
          <t>0</t>
        </is>
      </c>
      <c r="G154" t="n">
        <v>38.99</v>
      </c>
    </row>
    <row r="155">
      <c r="A155" t="inlineStr"/>
      <c r="B155" t="inlineStr">
        <is>
          <t>2025-11-27 00:00:00</t>
        </is>
      </c>
      <c r="C155" t="inlineStr"/>
      <c r="D155" t="inlineStr">
        <is>
          <t>THE POKE PLACE 10710 FOOTHILL BLVD #12 RANCHO CUCAMO CA Date 11/26/25 9 170541169 9 5814</t>
        </is>
      </c>
      <c r="E155" t="inlineStr"/>
      <c r="F155" t="inlineStr">
        <is>
          <t>0</t>
        </is>
      </c>
      <c r="G155" t="n">
        <v>18.26</v>
      </c>
    </row>
    <row r="156">
      <c r="A156" t="inlineStr"/>
      <c r="B156" t="inlineStr">
        <is>
          <t>2025-12-17 00:00:00</t>
        </is>
      </c>
      <c r="C156" t="inlineStr"/>
      <c r="D156" t="inlineStr">
        <is>
          <t>To inquire or verify EFT transactions ***8347 12/01/25 Thru 12/31/25 4 of 5 write us at: P.O. Box 908.00 Riverside, CA 92502-0908 or Phone: (888) 883-7228 P.O. Box 908.00 Riverside, CA 92502-0908</t>
        </is>
      </c>
      <c r="E156" t="inlineStr"/>
      <c r="F156" t="inlineStr">
        <is>
          <t>0</t>
        </is>
      </c>
      <c r="G156" t="inlineStr"/>
    </row>
    <row r="157">
      <c r="A157" t="inlineStr"/>
      <c r="B157" t="inlineStr">
        <is>
          <t>2025-11-23 00:00:00</t>
        </is>
      </c>
      <c r="C157" t="inlineStr"/>
      <c r="D157" t="inlineStr">
        <is>
          <t>TOTAL WINE AND RANCHO CUCAMO CA</t>
        </is>
      </c>
      <c r="E157" t="inlineStr"/>
      <c r="F157" t="inlineStr">
        <is>
          <t>0</t>
        </is>
      </c>
      <c r="G157" t="n">
        <v>86.25</v>
      </c>
    </row>
    <row r="158">
      <c r="A158" t="inlineStr"/>
      <c r="B158" t="inlineStr">
        <is>
          <t>2025-10-07 00:00:00</t>
        </is>
      </c>
      <c r="C158" t="inlineStr"/>
      <c r="D158" t="inlineStr">
        <is>
          <t>TOYOTA ACH RTL TYPE: 10052025.00 CO: TOYOTA ACH RTL NAME: JAVIER F LOPEZ Entry Class Code: WEB</t>
        </is>
      </c>
      <c r="E158" t="inlineStr"/>
      <c r="F158" t="inlineStr">
        <is>
          <t>0</t>
        </is>
      </c>
      <c r="G158" t="n">
        <v>347.95</v>
      </c>
    </row>
    <row r="159">
      <c r="A159" t="inlineStr"/>
      <c r="B159" t="inlineStr">
        <is>
          <t>2025-10-15 00:00:00</t>
        </is>
      </c>
      <c r="C159" t="inlineStr"/>
      <c r="D159" t="inlineStr">
        <is>
          <t>TOYOTA ACH RTL TYPE: 10122025.00 CO: TOYOTA ACH RTL NAME: JAVIER F LOPEZ Entry Class Code: WEB</t>
        </is>
      </c>
      <c r="E159" t="inlineStr"/>
      <c r="F159" t="inlineStr">
        <is>
          <t>0</t>
        </is>
      </c>
      <c r="G159" t="n">
        <v>347.95</v>
      </c>
    </row>
    <row r="160">
      <c r="A160" t="inlineStr"/>
      <c r="B160" t="inlineStr">
        <is>
          <t>2025-10-21 00:00:00</t>
        </is>
      </c>
      <c r="C160" t="inlineStr"/>
      <c r="D160" t="inlineStr">
        <is>
          <t>TOYOTA ACH RTL TYPE: 10192025.00 CO: TOYOTA ACH RTL NAME: JAVIER F LOPEZ Entry Class Code: WEB</t>
        </is>
      </c>
      <c r="E160" t="inlineStr"/>
      <c r="F160" t="inlineStr">
        <is>
          <t>0</t>
        </is>
      </c>
      <c r="G160" t="n">
        <v>347.95</v>
      </c>
    </row>
    <row r="161">
      <c r="A161" t="inlineStr"/>
      <c r="B161" t="inlineStr">
        <is>
          <t>2025-10-28 00:00:00</t>
        </is>
      </c>
      <c r="C161" t="inlineStr"/>
      <c r="D161" t="inlineStr">
        <is>
          <t>TOYOTA ACH RTL TYPE: 10262025.00 CO: TOYOTA ACH RTL NAME: JAVIER F LOPEZ Entry Class Code: WEB</t>
        </is>
      </c>
      <c r="E161" t="inlineStr"/>
      <c r="F161" t="inlineStr">
        <is>
          <t>0</t>
        </is>
      </c>
      <c r="G161" t="n">
        <v>347.95</v>
      </c>
    </row>
    <row r="162">
      <c r="A162" t="inlineStr"/>
      <c r="B162" t="inlineStr">
        <is>
          <t>2025-11-04 00:00:00</t>
        </is>
      </c>
      <c r="C162" t="inlineStr"/>
      <c r="D162" t="inlineStr">
        <is>
          <t>TOYOTA ACH RTL TYPE: 11022025 CO: TOYOTA ACH RTL NAME: JAVIER F LOPEZ Entry Class Code: WEB</t>
        </is>
      </c>
      <c r="E162" t="inlineStr"/>
      <c r="F162" t="inlineStr">
        <is>
          <t>0</t>
        </is>
      </c>
      <c r="G162" t="n">
        <v>347.95</v>
      </c>
    </row>
    <row r="163">
      <c r="A163" t="inlineStr"/>
      <c r="B163" t="inlineStr">
        <is>
          <t>2025-11-12 00:00:00</t>
        </is>
      </c>
      <c r="C163" t="inlineStr"/>
      <c r="D163" t="inlineStr">
        <is>
          <t>TOYOTA ACH RTL TYPE: 11092025 CO: TOYOTA ACH RTL NAME: JAVIER F LOPEZ Entry Class Code: WEB</t>
        </is>
      </c>
      <c r="E163" t="inlineStr"/>
      <c r="F163" t="inlineStr">
        <is>
          <t>0</t>
        </is>
      </c>
      <c r="G163" t="n">
        <v>347.95</v>
      </c>
    </row>
    <row r="164">
      <c r="A164" t="inlineStr"/>
      <c r="B164" t="inlineStr">
        <is>
          <t>2025-11-18 00:00:00</t>
        </is>
      </c>
      <c r="C164" t="inlineStr"/>
      <c r="D164" t="inlineStr">
        <is>
          <t>TOYOTA ACH RTL TYPE: 11162025 CO: TOYOTA ACH RTL NAME: JAVIER F LOPEZ Entry Class Code: WEB</t>
        </is>
      </c>
      <c r="E164" t="inlineStr"/>
      <c r="F164" t="inlineStr">
        <is>
          <t>0</t>
        </is>
      </c>
      <c r="G164" t="n">
        <v>347.95</v>
      </c>
    </row>
    <row r="165">
      <c r="A165" t="inlineStr"/>
      <c r="B165" t="inlineStr">
        <is>
          <t>2025-11-25 00:00:00</t>
        </is>
      </c>
      <c r="C165" t="inlineStr"/>
      <c r="D165" t="inlineStr">
        <is>
          <t>TOYOTA ACH RTL TYPE: 11232025 CO: TOYOTA ACH RTL NAME: JAVIER F LOPEZ Entry Class Code: WEB</t>
        </is>
      </c>
      <c r="E165" t="inlineStr"/>
      <c r="F165" t="inlineStr">
        <is>
          <t>0</t>
        </is>
      </c>
      <c r="G165" t="n">
        <v>347.95</v>
      </c>
    </row>
    <row r="166">
      <c r="A166" t="inlineStr"/>
      <c r="B166" t="inlineStr">
        <is>
          <t>2025-12-02 00:00:00</t>
        </is>
      </c>
      <c r="C166" t="inlineStr"/>
      <c r="D166" t="inlineStr">
        <is>
          <t>TOYOTA ACH RTL TYPE: 12012025.00 CO: TOYOTA ACH RTL NAME: JAVIER F LOPEZ Entry Class Code: WEB</t>
        </is>
      </c>
      <c r="E166" t="inlineStr"/>
      <c r="F166" t="inlineStr">
        <is>
          <t>0</t>
        </is>
      </c>
      <c r="G166" t="n">
        <v>347.95</v>
      </c>
    </row>
    <row r="167">
      <c r="A167" t="inlineStr"/>
      <c r="B167" t="inlineStr">
        <is>
          <t>2025-12-09 00:00:00</t>
        </is>
      </c>
      <c r="C167" t="inlineStr"/>
      <c r="D167" t="inlineStr">
        <is>
          <t>TOYOTA ACH RTL TYPE: 12072025.00 CO: TOYOTA ACH RTL NAME: JAVIER F LOPEZ Entry Class Code: WEB</t>
        </is>
      </c>
      <c r="E167" t="inlineStr"/>
      <c r="F167" t="inlineStr">
        <is>
          <t>0</t>
        </is>
      </c>
      <c r="G167" t="n">
        <v>347.95</v>
      </c>
    </row>
    <row r="168">
      <c r="A168" t="inlineStr"/>
      <c r="B168" t="inlineStr">
        <is>
          <t>2025-12-16 00:00:00</t>
        </is>
      </c>
      <c r="C168" t="inlineStr"/>
      <c r="D168" t="inlineStr">
        <is>
          <t>TOYOTA ACH RTL TYPE: 12152025.00 CO: TOYOTA ACH RTL NAME: JAVIER F LOPEZ Entry Class Code: WEB</t>
        </is>
      </c>
      <c r="E168" t="inlineStr"/>
      <c r="F168" t="inlineStr">
        <is>
          <t>0</t>
        </is>
      </c>
      <c r="G168" t="n">
        <v>347.95</v>
      </c>
    </row>
    <row r="169">
      <c r="A169" t="inlineStr"/>
      <c r="B169" t="inlineStr">
        <is>
          <t>2025-12-23 00:00:00</t>
        </is>
      </c>
      <c r="C169" t="inlineStr"/>
      <c r="D169" t="inlineStr">
        <is>
          <t>TOYOTA ACH RTL TYPE: 12212025.00 CO: TOYOTA ACH RTL NAME: JAVIER F LOPEZ Entry Class Code: WEB</t>
        </is>
      </c>
      <c r="E169" t="inlineStr"/>
      <c r="F169" t="inlineStr">
        <is>
          <t>0</t>
        </is>
      </c>
      <c r="G169" t="n">
        <v>347.95</v>
      </c>
    </row>
    <row r="170">
      <c r="A170" t="inlineStr"/>
      <c r="B170" t="inlineStr">
        <is>
          <t>2025-12-30 00:00:00</t>
        </is>
      </c>
      <c r="C170" t="inlineStr"/>
      <c r="D170" t="inlineStr">
        <is>
          <t>TOYOTA ACH RTL TYPE: 12282025.00 CO: TOYOTA ACH RTL NAME: JAVIER F LOPEZ Entry Class Code: WEB</t>
        </is>
      </c>
      <c r="E170" t="inlineStr"/>
      <c r="F170" t="inlineStr">
        <is>
          <t>0</t>
        </is>
      </c>
      <c r="G170" t="n">
        <v>347.95</v>
      </c>
    </row>
    <row r="171">
      <c r="A171" t="inlineStr"/>
      <c r="B171" t="inlineStr">
        <is>
          <t>2025-12-02 00:00:00</t>
        </is>
      </c>
      <c r="C171" t="inlineStr"/>
      <c r="D171" t="inlineStr">
        <is>
          <t>Tray1 3.00 Account No. Statement Period Page</t>
        </is>
      </c>
      <c r="E171" t="inlineStr"/>
      <c r="F171" t="inlineStr">
        <is>
          <t>0</t>
        </is>
      </c>
      <c r="G171" t="inlineStr"/>
    </row>
    <row r="172">
      <c r="A172" t="inlineStr"/>
      <c r="B172" t="inlineStr">
        <is>
          <t>2025-12-08 00:00:00</t>
        </is>
      </c>
      <c r="C172" t="inlineStr"/>
      <c r="D172" t="inlineStr">
        <is>
          <t>URBAN OUTFITTER 1201.00 LAKE WOODLANDS DR. SPRING TX</t>
        </is>
      </c>
      <c r="E172" t="inlineStr"/>
      <c r="F172" t="inlineStr">
        <is>
          <t>0</t>
        </is>
      </c>
      <c r="G172" t="n">
        <v>34.64</v>
      </c>
    </row>
    <row r="173">
      <c r="A173" t="inlineStr"/>
      <c r="B173" t="inlineStr">
        <is>
          <t>2025-12-30 00:00:00</t>
        </is>
      </c>
      <c r="C173" t="inlineStr"/>
      <c r="D173" t="inlineStr">
        <is>
          <t>Wienerschnitzel</t>
        </is>
      </c>
      <c r="E173" t="inlineStr"/>
      <c r="F173" t="inlineStr">
        <is>
          <t>0</t>
        </is>
      </c>
      <c r="G173" t="n">
        <v>13.78</v>
      </c>
    </row>
    <row r="174">
      <c r="A174" t="inlineStr"/>
      <c r="B174" t="inlineStr">
        <is>
          <t>2025-11-14 00:00:00</t>
        </is>
      </c>
      <c r="C174" t="inlineStr"/>
      <c r="D174" t="inlineStr">
        <is>
          <t>Withdrawal</t>
        </is>
      </c>
      <c r="E174" t="inlineStr"/>
      <c r="F174" t="inlineStr">
        <is>
          <t>0</t>
        </is>
      </c>
      <c r="G174" t="n">
        <v>200</v>
      </c>
    </row>
    <row r="175">
      <c r="A175" t="inlineStr"/>
      <c r="B175" t="inlineStr">
        <is>
          <t>2025-10-10 00:00:00</t>
        </is>
      </c>
      <c r="C175" t="inlineStr"/>
      <c r="D175" t="inlineStr">
        <is>
          <t>Withdrawal</t>
        </is>
      </c>
      <c r="E175" t="inlineStr"/>
      <c r="F175" t="inlineStr">
        <is>
          <t>0</t>
        </is>
      </c>
      <c r="G175" t="n">
        <v>400</v>
      </c>
    </row>
    <row r="176">
      <c r="A176" t="inlineStr"/>
      <c r="B176" t="inlineStr">
        <is>
          <t>2025-11-12 00:00:00</t>
        </is>
      </c>
      <c r="C176" t="inlineStr"/>
      <c r="D176" t="inlineStr">
        <is>
          <t>Withdrawal</t>
        </is>
      </c>
      <c r="E176" t="inlineStr"/>
      <c r="F176" t="inlineStr">
        <is>
          <t>0</t>
        </is>
      </c>
      <c r="G176" t="n">
        <v>400</v>
      </c>
    </row>
    <row r="177">
      <c r="A177" t="inlineStr"/>
      <c r="B177" t="inlineStr">
        <is>
          <t>2025-11-24 00:00:00</t>
        </is>
      </c>
      <c r="C177" t="inlineStr"/>
      <c r="D177" t="inlineStr">
        <is>
          <t>Withdrawal</t>
        </is>
      </c>
      <c r="E177" t="inlineStr"/>
      <c r="F177" t="inlineStr">
        <is>
          <t>0</t>
        </is>
      </c>
      <c r="G177" t="n">
        <v>400</v>
      </c>
    </row>
    <row r="178">
      <c r="A178" t="inlineStr"/>
      <c r="B178" t="inlineStr">
        <is>
          <t>2025-12-17 00:00:00</t>
        </is>
      </c>
      <c r="C178" t="inlineStr"/>
      <c r="D178" t="inlineStr">
        <is>
          <t>Withdrawal</t>
        </is>
      </c>
      <c r="E178" t="inlineStr"/>
      <c r="F178" t="inlineStr">
        <is>
          <t>0</t>
        </is>
      </c>
      <c r="G178" t="n">
        <v>400</v>
      </c>
    </row>
    <row r="179">
      <c r="A179" t="inlineStr"/>
      <c r="B179" t="inlineStr">
        <is>
          <t>2025-12-31 00:00:00</t>
        </is>
      </c>
      <c r="C179" t="inlineStr"/>
      <c r="D179" t="inlineStr">
        <is>
          <t>Withdrawal</t>
        </is>
      </c>
      <c r="E179" t="inlineStr"/>
      <c r="F179" t="inlineStr">
        <is>
          <t>0</t>
        </is>
      </c>
      <c r="G179" t="n">
        <v>3000</v>
      </c>
    </row>
    <row r="180">
      <c r="A180" t="inlineStr"/>
      <c r="B180" t="inlineStr">
        <is>
          <t>2025-11-14 00:00:00</t>
        </is>
      </c>
      <c r="C180" t="inlineStr"/>
      <c r="D180" t="inlineStr">
        <is>
          <t>Withdrawal</t>
        </is>
      </c>
      <c r="E180" t="inlineStr"/>
      <c r="F180" t="inlineStr">
        <is>
          <t>0</t>
        </is>
      </c>
      <c r="G180" t="n">
        <v>40025.2</v>
      </c>
    </row>
    <row r="181">
      <c r="A181" t="inlineStr"/>
      <c r="B181" t="inlineStr">
        <is>
          <t>2025-12-17 00:00:00</t>
        </is>
      </c>
      <c r="C181" t="inlineStr"/>
      <c r="D181" t="inlineStr">
        <is>
          <t>Starter Check</t>
        </is>
      </c>
      <c r="E181" t="inlineStr"/>
      <c r="F181" t="inlineStr">
        <is>
          <t>0</t>
        </is>
      </c>
      <c r="G181" t="n">
        <v>3</v>
      </c>
    </row>
    <row r="182">
      <c r="A182" t="inlineStr"/>
      <c r="B182" t="inlineStr">
        <is>
          <t>2025-10-10 00:00:00</t>
        </is>
      </c>
      <c r="C182" t="inlineStr"/>
      <c r="D182" t="inlineStr">
        <is>
          <t>Starter Check</t>
        </is>
      </c>
      <c r="E182" t="inlineStr"/>
      <c r="F182" t="inlineStr">
        <is>
          <t>0</t>
        </is>
      </c>
      <c r="G182" t="n">
        <v>6</v>
      </c>
    </row>
    <row r="183">
      <c r="A183" t="inlineStr"/>
      <c r="B183" t="inlineStr">
        <is>
          <t>2025-11-24 00:00:00</t>
        </is>
      </c>
      <c r="C183" t="inlineStr"/>
      <c r="D183" t="inlineStr">
        <is>
          <t>Starter Check</t>
        </is>
      </c>
      <c r="E183" t="inlineStr"/>
      <c r="F183" t="inlineStr">
        <is>
          <t>0</t>
        </is>
      </c>
      <c r="G183" t="n">
        <v>6</v>
      </c>
    </row>
    <row r="184">
      <c r="A184" t="inlineStr"/>
      <c r="B184" t="inlineStr">
        <is>
          <t>2025-12-15 00:00:00</t>
        </is>
      </c>
      <c r="C184" t="inlineStr"/>
      <c r="D184" t="inlineStr">
        <is>
          <t>Stop payment Fee</t>
        </is>
      </c>
      <c r="E184" t="inlineStr"/>
      <c r="F184" t="inlineStr">
        <is>
          <t>0</t>
        </is>
      </c>
      <c r="G184" t="n">
        <v>29</v>
      </c>
    </row>
    <row r="185">
      <c r="A185" t="inlineStr"/>
      <c r="B185" t="inlineStr">
        <is>
          <t>2025-11-14 00:00:00</t>
        </is>
      </c>
      <c r="C185" t="inlineStr"/>
      <c r="D185" t="inlineStr">
        <is>
          <t>Withdrawal</t>
        </is>
      </c>
      <c r="E185" t="inlineStr"/>
      <c r="F185" t="inlineStr">
        <is>
          <t>0</t>
        </is>
      </c>
      <c r="G185" t="n">
        <v>25</v>
      </c>
    </row>
    <row r="186">
      <c r="A186" t="inlineStr"/>
      <c r="B186" t="inlineStr">
        <is>
          <t>2025-12-22 00:00:00</t>
        </is>
      </c>
      <c r="C186" t="inlineStr"/>
      <c r="D186" t="inlineStr">
        <is>
          <t>Yogurtland</t>
        </is>
      </c>
      <c r="E186" t="inlineStr"/>
      <c r="F186" t="inlineStr">
        <is>
          <t>0</t>
        </is>
      </c>
      <c r="G186" t="n">
        <v>17.54</v>
      </c>
    </row>
    <row r="187">
      <c r="A187" t="inlineStr"/>
      <c r="B187" t="inlineStr"/>
      <c r="C187" t="inlineStr"/>
      <c r="D187" t="inlineStr"/>
      <c r="E187" t="inlineStr"/>
      <c r="F187" t="inlineStr"/>
      <c r="G187" t="inlineStr"/>
    </row>
    <row r="188">
      <c r="A188" t="inlineStr"/>
      <c r="B188" t="inlineStr">
        <is>
          <t>2025-10-30 00:00:00</t>
        </is>
      </c>
      <c r="C188" t="inlineStr"/>
      <c r="D188" t="inlineStr">
        <is>
          <t>GUSTO TYPE: REM</t>
        </is>
      </c>
      <c r="E188" t="inlineStr"/>
      <c r="F188" t="inlineStr">
        <is>
          <t>0</t>
        </is>
      </c>
      <c r="G188" t="n">
        <v>1077.08</v>
      </c>
    </row>
    <row r="189">
      <c r="A189" t="inlineStr"/>
      <c r="B189" t="inlineStr">
        <is>
          <t>2025-11-03 00:00:00</t>
        </is>
      </c>
      <c r="C189" t="inlineStr"/>
      <c r="D189" t="inlineStr">
        <is>
          <t>GUSTO TYPE: REM</t>
        </is>
      </c>
      <c r="E189" t="inlineStr"/>
      <c r="F189" t="inlineStr">
        <is>
          <t>0</t>
        </is>
      </c>
      <c r="G189" t="n">
        <v>1000</v>
      </c>
    </row>
    <row r="190">
      <c r="A190" t="inlineStr"/>
      <c r="B190" t="inlineStr">
        <is>
          <t>2025-11-03 00:00:00</t>
        </is>
      </c>
      <c r="C190" t="inlineStr"/>
      <c r="D190" t="inlineStr">
        <is>
          <t>GUSTO TYPE: REM</t>
        </is>
      </c>
      <c r="E190" t="inlineStr"/>
      <c r="F190" t="inlineStr">
        <is>
          <t>0</t>
        </is>
      </c>
      <c r="G190" t="n">
        <v>3000</v>
      </c>
    </row>
    <row r="191">
      <c r="A191" t="inlineStr"/>
      <c r="B191" t="inlineStr">
        <is>
          <t>2025-11-28 00:00:00</t>
        </is>
      </c>
      <c r="C191" t="inlineStr"/>
      <c r="D191" t="inlineStr">
        <is>
          <t>GUSTO TYPE: REM</t>
        </is>
      </c>
      <c r="E191" t="inlineStr"/>
      <c r="F191" t="inlineStr">
        <is>
          <t>0</t>
        </is>
      </c>
      <c r="G191" t="n">
        <v>5886.48</v>
      </c>
    </row>
    <row r="192">
      <c r="A192" t="inlineStr"/>
      <c r="B192" t="inlineStr">
        <is>
          <t>2025-12-30 00:00:00</t>
        </is>
      </c>
      <c r="C192" t="inlineStr"/>
      <c r="D192" t="inlineStr">
        <is>
          <t>GUSTO TYPE: REM</t>
        </is>
      </c>
      <c r="E192" t="inlineStr"/>
      <c r="F192" t="inlineStr">
        <is>
          <t>0</t>
        </is>
      </c>
      <c r="G192" t="n">
        <v>4480.88</v>
      </c>
    </row>
    <row r="193">
      <c r="A193" t="inlineStr"/>
      <c r="B193" t="inlineStr">
        <is>
          <t>2025-10-10 00:00:00</t>
        </is>
      </c>
      <c r="C193" t="inlineStr"/>
      <c r="D193" t="inlineStr">
        <is>
          <t>GUSTO TYPE: REM</t>
        </is>
      </c>
      <c r="E193" t="inlineStr"/>
      <c r="F193" t="inlineStr">
        <is>
          <t>0</t>
        </is>
      </c>
      <c r="G193" t="n">
        <v>27.5</v>
      </c>
    </row>
    <row r="194">
      <c r="A194" t="inlineStr"/>
      <c r="B194" t="inlineStr">
        <is>
          <t>2025-10-14 00:00:00</t>
        </is>
      </c>
      <c r="C194" t="inlineStr"/>
      <c r="D194" t="inlineStr">
        <is>
          <t>GUSTO TYPE: REM</t>
        </is>
      </c>
      <c r="E194" t="inlineStr"/>
      <c r="F194" t="inlineStr">
        <is>
          <t>0</t>
        </is>
      </c>
      <c r="G194" t="n">
        <v>6724.83</v>
      </c>
    </row>
    <row r="195">
      <c r="A195" t="inlineStr"/>
      <c r="B195" t="inlineStr">
        <is>
          <t>2025-11-13 00:00:00</t>
        </is>
      </c>
      <c r="C195" t="inlineStr"/>
      <c r="D195" t="inlineStr">
        <is>
          <t>GUSTO TYPE: REM</t>
        </is>
      </c>
      <c r="E195" t="inlineStr"/>
      <c r="F195" t="inlineStr">
        <is>
          <t>0</t>
        </is>
      </c>
      <c r="G195" t="n">
        <v>6807.91</v>
      </c>
    </row>
    <row r="196">
      <c r="A196" t="inlineStr"/>
      <c r="B196" t="inlineStr">
        <is>
          <t>2025-10-22 00:00:00</t>
        </is>
      </c>
      <c r="C196" t="inlineStr"/>
      <c r="D196" t="inlineStr">
        <is>
          <t>GUSTO TYPE: REM</t>
        </is>
      </c>
      <c r="E196" t="inlineStr"/>
      <c r="F196" t="inlineStr">
        <is>
          <t>0</t>
        </is>
      </c>
      <c r="G196" t="n">
        <v>35</v>
      </c>
    </row>
    <row r="197">
      <c r="A197" t="inlineStr"/>
      <c r="B197" t="inlineStr">
        <is>
          <t>2025-12-12 00:00:00</t>
        </is>
      </c>
      <c r="C197" t="inlineStr"/>
      <c r="D197" t="inlineStr">
        <is>
          <t>GUSTO TYPE: REM</t>
        </is>
      </c>
      <c r="E197" t="inlineStr"/>
      <c r="F197" t="inlineStr">
        <is>
          <t>0</t>
        </is>
      </c>
      <c r="G197" t="n">
        <v>13691</v>
      </c>
    </row>
    <row r="198">
      <c r="A198" t="inlineStr"/>
      <c r="B198" t="inlineStr">
        <is>
          <t>2025-10-03 00:00:00</t>
        </is>
      </c>
      <c r="C198" t="inlineStr"/>
      <c r="D198" t="inlineStr">
        <is>
          <t>GUSTO TYPE: FEE</t>
        </is>
      </c>
      <c r="E198" t="inlineStr"/>
      <c r="F198" t="inlineStr">
        <is>
          <t>0</t>
        </is>
      </c>
      <c r="G198" t="n">
        <v>913</v>
      </c>
    </row>
    <row r="199">
      <c r="A199" t="inlineStr"/>
      <c r="B199" t="inlineStr">
        <is>
          <t>2025-11-05 00:00:00</t>
        </is>
      </c>
      <c r="C199" t="inlineStr"/>
      <c r="D199" t="inlineStr">
        <is>
          <t>GUSTO TYPE: FEE</t>
        </is>
      </c>
      <c r="E199" t="inlineStr"/>
      <c r="F199" t="inlineStr">
        <is>
          <t>0</t>
        </is>
      </c>
      <c r="G199" t="n">
        <v>907</v>
      </c>
    </row>
    <row r="200">
      <c r="A200" t="inlineStr"/>
      <c r="B200" t="inlineStr">
        <is>
          <t>2025-12-03 00:00:00</t>
        </is>
      </c>
      <c r="C200" t="inlineStr"/>
      <c r="D200" t="inlineStr">
        <is>
          <t>GUSTO TYPE: FEE</t>
        </is>
      </c>
      <c r="E200" t="inlineStr"/>
      <c r="F200" t="inlineStr">
        <is>
          <t>0</t>
        </is>
      </c>
      <c r="G200" t="n">
        <v>835</v>
      </c>
    </row>
    <row r="201">
      <c r="A201" t="inlineStr"/>
      <c r="B201" t="inlineStr"/>
      <c r="C201" t="inlineStr"/>
      <c r="D201" t="inlineStr"/>
      <c r="E201" t="inlineStr"/>
      <c r="F201" t="inlineStr"/>
      <c r="G201" t="inlineStr"/>
    </row>
    <row r="202">
      <c r="A202" t="inlineStr"/>
      <c r="B202" t="inlineStr"/>
      <c r="C202" t="inlineStr"/>
      <c r="D202" t="inlineStr"/>
      <c r="E202" t="inlineStr"/>
      <c r="F202" t="inlineStr"/>
      <c r="G202" t="inlineStr"/>
    </row>
    <row r="203">
      <c r="A203" t="inlineStr"/>
      <c r="B203" t="inlineStr">
        <is>
          <t>2025-10-14 00:00:00</t>
        </is>
      </c>
      <c r="C203" t="inlineStr"/>
      <c r="D203" t="inlineStr">
        <is>
          <t>GUSTO</t>
        </is>
      </c>
      <c r="E203" t="inlineStr"/>
      <c r="F203" t="inlineStr">
        <is>
          <t>0</t>
        </is>
      </c>
      <c r="G203" t="n">
        <v>615</v>
      </c>
    </row>
    <row r="204">
      <c r="A204" t="inlineStr"/>
      <c r="B204" t="inlineStr">
        <is>
          <t>2025-10-30 00:00:00</t>
        </is>
      </c>
      <c r="C204" t="inlineStr"/>
      <c r="D204" t="inlineStr">
        <is>
          <t>GUSTO TYPE: CND</t>
        </is>
      </c>
      <c r="E204" t="inlineStr"/>
      <c r="F204" t="inlineStr">
        <is>
          <t>0</t>
        </is>
      </c>
      <c r="G204" t="n">
        <v>1219.8</v>
      </c>
    </row>
    <row r="205">
      <c r="A205" t="inlineStr"/>
      <c r="B205" t="inlineStr">
        <is>
          <t>2025-10-30 00:00:00</t>
        </is>
      </c>
      <c r="C205" t="inlineStr"/>
      <c r="D205" t="inlineStr">
        <is>
          <t>GUSTO TYPE: CND</t>
        </is>
      </c>
      <c r="E205" t="inlineStr"/>
      <c r="F205" t="inlineStr">
        <is>
          <t>0</t>
        </is>
      </c>
      <c r="G205" t="n">
        <v>745</v>
      </c>
    </row>
    <row r="206">
      <c r="A206" t="inlineStr"/>
      <c r="B206" t="inlineStr">
        <is>
          <t>2025-10-30 00:00:00</t>
        </is>
      </c>
      <c r="C206" t="inlineStr"/>
      <c r="D206" t="inlineStr">
        <is>
          <t>GUSTO TYPE: CND</t>
        </is>
      </c>
      <c r="E206" t="inlineStr"/>
      <c r="F206" t="inlineStr">
        <is>
          <t>0</t>
        </is>
      </c>
      <c r="G206" t="n">
        <v>1625</v>
      </c>
    </row>
    <row r="207">
      <c r="A207" t="inlineStr"/>
      <c r="B207" t="inlineStr">
        <is>
          <t>2025-10-30 00:00:00</t>
        </is>
      </c>
      <c r="C207" t="inlineStr"/>
      <c r="D207" t="inlineStr">
        <is>
          <t>GUSTO TYPE: CND</t>
        </is>
      </c>
      <c r="E207" t="inlineStr"/>
      <c r="F207" t="inlineStr">
        <is>
          <t>0</t>
        </is>
      </c>
      <c r="G207" t="n">
        <v>5104</v>
      </c>
    </row>
    <row r="208">
      <c r="A208" t="inlineStr"/>
      <c r="B208" t="inlineStr">
        <is>
          <t>2025-10-30 00:00:00</t>
        </is>
      </c>
      <c r="C208" t="inlineStr"/>
      <c r="D208" t="inlineStr">
        <is>
          <t>GUSTO TYPE: CND</t>
        </is>
      </c>
      <c r="E208" t="inlineStr"/>
      <c r="F208" t="inlineStr">
        <is>
          <t>0</t>
        </is>
      </c>
      <c r="G208" t="n">
        <v>5265</v>
      </c>
    </row>
    <row r="209">
      <c r="A209" t="inlineStr"/>
      <c r="B209" t="inlineStr">
        <is>
          <t>2025-10-30 00:00:00</t>
        </is>
      </c>
      <c r="C209" t="inlineStr"/>
      <c r="D209" t="inlineStr">
        <is>
          <t>GUSTO TYPE: CND</t>
        </is>
      </c>
      <c r="E209" t="inlineStr"/>
      <c r="F209" t="inlineStr">
        <is>
          <t>0</t>
        </is>
      </c>
      <c r="G209" t="n">
        <v>6660</v>
      </c>
    </row>
    <row r="210">
      <c r="A210" t="inlineStr"/>
      <c r="B210" t="inlineStr">
        <is>
          <t>2025-11-28 00:00:00</t>
        </is>
      </c>
      <c r="C210" t="inlineStr"/>
      <c r="D210" t="inlineStr">
        <is>
          <t>GUSTO TYPE: CND</t>
        </is>
      </c>
      <c r="E210" t="inlineStr"/>
      <c r="F210" t="inlineStr">
        <is>
          <t>0</t>
        </is>
      </c>
      <c r="G210" t="n">
        <v>710.2</v>
      </c>
    </row>
    <row r="211">
      <c r="A211" t="inlineStr"/>
      <c r="B211" t="inlineStr">
        <is>
          <t>2025-11-28 00:00:00</t>
        </is>
      </c>
      <c r="C211" t="inlineStr"/>
      <c r="D211" t="inlineStr">
        <is>
          <t>GUSTO TYPE: CND</t>
        </is>
      </c>
      <c r="E211" t="inlineStr"/>
      <c r="F211" t="inlineStr">
        <is>
          <t>0</t>
        </is>
      </c>
      <c r="G211" t="n">
        <v>840</v>
      </c>
    </row>
    <row r="212">
      <c r="A212" t="inlineStr"/>
      <c r="B212" t="inlineStr">
        <is>
          <t>2025-11-28 00:00:00</t>
        </is>
      </c>
      <c r="C212" t="inlineStr"/>
      <c r="D212" t="inlineStr">
        <is>
          <t>GUSTO TYPE: CND</t>
        </is>
      </c>
      <c r="E212" t="inlineStr"/>
      <c r="F212" t="inlineStr">
        <is>
          <t>0</t>
        </is>
      </c>
      <c r="G212" t="n">
        <v>1775</v>
      </c>
    </row>
    <row r="213">
      <c r="A213" t="inlineStr"/>
      <c r="B213" t="inlineStr">
        <is>
          <t>2025-11-28 00:00:00</t>
        </is>
      </c>
      <c r="C213" t="inlineStr"/>
      <c r="D213" t="inlineStr">
        <is>
          <t>GUSTO TYPE: CND</t>
        </is>
      </c>
      <c r="E213" t="inlineStr"/>
      <c r="F213" t="inlineStr">
        <is>
          <t>0</t>
        </is>
      </c>
      <c r="G213" t="n">
        <v>4614</v>
      </c>
    </row>
    <row r="214">
      <c r="A214" t="inlineStr"/>
      <c r="B214" t="inlineStr">
        <is>
          <t>2025-11-28 00:00:00</t>
        </is>
      </c>
      <c r="C214" t="inlineStr"/>
      <c r="D214" t="inlineStr">
        <is>
          <t>GUSTO TYPE: CND</t>
        </is>
      </c>
      <c r="E214" t="inlineStr"/>
      <c r="F214" t="inlineStr">
        <is>
          <t>0</t>
        </is>
      </c>
      <c r="G214" t="n">
        <v>4976.25</v>
      </c>
    </row>
    <row r="215">
      <c r="A215" t="inlineStr"/>
      <c r="B215" t="inlineStr">
        <is>
          <t>2025-11-28 00:00:00</t>
        </is>
      </c>
      <c r="C215" t="inlineStr"/>
      <c r="D215" t="inlineStr">
        <is>
          <t>GUSTO TYPE: CND</t>
        </is>
      </c>
      <c r="E215" t="inlineStr"/>
      <c r="F215" t="inlineStr">
        <is>
          <t>0</t>
        </is>
      </c>
      <c r="G215" t="n">
        <v>6270</v>
      </c>
    </row>
    <row r="216">
      <c r="A216" t="inlineStr"/>
      <c r="B216" t="inlineStr">
        <is>
          <t>2025-12-30 00:00:00</t>
        </is>
      </c>
      <c r="C216" t="inlineStr"/>
      <c r="D216" t="inlineStr">
        <is>
          <t>GUSTO TYPE: CND</t>
        </is>
      </c>
      <c r="E216" t="inlineStr"/>
      <c r="F216" t="inlineStr">
        <is>
          <t>0</t>
        </is>
      </c>
      <c r="G216" t="n">
        <v>1525.63</v>
      </c>
    </row>
    <row r="217">
      <c r="A217" t="inlineStr"/>
      <c r="B217" t="inlineStr">
        <is>
          <t>2025-12-30 00:00:00</t>
        </is>
      </c>
      <c r="C217" t="inlineStr"/>
      <c r="D217" t="inlineStr">
        <is>
          <t>GUSTO TYPE: CND</t>
        </is>
      </c>
      <c r="E217" t="inlineStr"/>
      <c r="F217" t="inlineStr">
        <is>
          <t>0</t>
        </is>
      </c>
      <c r="G217" t="n">
        <v>1625</v>
      </c>
    </row>
    <row r="218">
      <c r="A218" t="inlineStr"/>
      <c r="B218" t="inlineStr">
        <is>
          <t>2025-12-30 00:00:00</t>
        </is>
      </c>
      <c r="C218" t="inlineStr"/>
      <c r="D218" t="inlineStr">
        <is>
          <t>GUSTO TYPE: CND</t>
        </is>
      </c>
      <c r="E218" t="inlineStr"/>
      <c r="F218" t="inlineStr">
        <is>
          <t>0</t>
        </is>
      </c>
      <c r="G218" t="n">
        <v>2050.2</v>
      </c>
    </row>
    <row r="219">
      <c r="A219" t="inlineStr"/>
      <c r="B219" t="inlineStr">
        <is>
          <t>2025-12-30 00:00:00</t>
        </is>
      </c>
      <c r="C219" t="inlineStr"/>
      <c r="D219" t="inlineStr">
        <is>
          <t>GUSTO TYPE: CND</t>
        </is>
      </c>
      <c r="E219" t="inlineStr"/>
      <c r="F219" t="inlineStr">
        <is>
          <t>0</t>
        </is>
      </c>
      <c r="G219" t="n">
        <v>2970</v>
      </c>
    </row>
    <row r="220">
      <c r="A220" t="inlineStr"/>
      <c r="B220" t="inlineStr">
        <is>
          <t>2025-12-30 00:00:00</t>
        </is>
      </c>
      <c r="C220" t="inlineStr"/>
      <c r="D220" t="inlineStr">
        <is>
          <t>GUSTO TYPE: CND</t>
        </is>
      </c>
      <c r="E220" t="inlineStr"/>
      <c r="F220" t="inlineStr">
        <is>
          <t>0</t>
        </is>
      </c>
      <c r="G220" t="n">
        <v>4480</v>
      </c>
    </row>
    <row r="221">
      <c r="A221" t="inlineStr"/>
      <c r="B221" t="inlineStr">
        <is>
          <t>2025-12-30 00:00:00</t>
        </is>
      </c>
      <c r="C221" t="inlineStr"/>
      <c r="D221" t="inlineStr">
        <is>
          <t>GUSTO TYPE: CND</t>
        </is>
      </c>
      <c r="E221" t="inlineStr"/>
      <c r="F221" t="inlineStr">
        <is>
          <t>0</t>
        </is>
      </c>
      <c r="G221" t="n">
        <v>6390</v>
      </c>
    </row>
    <row r="222">
      <c r="A222" t="inlineStr"/>
      <c r="B222" t="inlineStr">
        <is>
          <t>2025-10-14 00:00:00</t>
        </is>
      </c>
      <c r="C222" t="inlineStr"/>
      <c r="D222" t="inlineStr">
        <is>
          <t>GUSTO TYPE: CND</t>
        </is>
      </c>
      <c r="E222" t="inlineStr"/>
      <c r="F222" t="inlineStr">
        <is>
          <t>0</t>
        </is>
      </c>
      <c r="G222" t="n">
        <v>974.38</v>
      </c>
    </row>
    <row r="223">
      <c r="A223" t="inlineStr"/>
      <c r="B223" t="inlineStr">
        <is>
          <t>2025-10-14 00:00:00</t>
        </is>
      </c>
      <c r="C223" t="inlineStr"/>
      <c r="D223" t="inlineStr">
        <is>
          <t>GUSTO TYPE: CND</t>
        </is>
      </c>
      <c r="E223" t="inlineStr"/>
      <c r="F223" t="inlineStr">
        <is>
          <t>0</t>
        </is>
      </c>
      <c r="G223" t="n">
        <v>1625</v>
      </c>
    </row>
    <row r="224">
      <c r="A224" t="inlineStr"/>
      <c r="B224" t="inlineStr">
        <is>
          <t>2025-10-14 00:00:00</t>
        </is>
      </c>
      <c r="C224" t="inlineStr"/>
      <c r="D224" t="inlineStr">
        <is>
          <t>GUSTO TYPE: CND</t>
        </is>
      </c>
      <c r="E224" t="inlineStr"/>
      <c r="F224" t="inlineStr">
        <is>
          <t>0</t>
        </is>
      </c>
      <c r="G224" t="n">
        <v>4266</v>
      </c>
    </row>
    <row r="225">
      <c r="A225" t="inlineStr"/>
      <c r="B225" t="inlineStr">
        <is>
          <t>2025-10-14 00:00:00</t>
        </is>
      </c>
      <c r="C225" t="inlineStr"/>
      <c r="D225" t="inlineStr">
        <is>
          <t>GUSTO TYPE: CND</t>
        </is>
      </c>
      <c r="E225" t="inlineStr"/>
      <c r="F225" t="inlineStr">
        <is>
          <t>0</t>
        </is>
      </c>
      <c r="G225" t="n">
        <v>4800</v>
      </c>
    </row>
    <row r="226">
      <c r="A226" t="inlineStr"/>
      <c r="B226" t="inlineStr">
        <is>
          <t>2025-10-14 00:00:00</t>
        </is>
      </c>
      <c r="C226" t="inlineStr"/>
      <c r="D226" t="inlineStr">
        <is>
          <t>GUSTO TYPE: CND</t>
        </is>
      </c>
      <c r="E226" t="inlineStr"/>
      <c r="F226" t="inlineStr">
        <is>
          <t>0</t>
        </is>
      </c>
      <c r="G226" t="n">
        <v>3510</v>
      </c>
    </row>
    <row r="227">
      <c r="A227" t="inlineStr"/>
      <c r="B227" t="inlineStr">
        <is>
          <t>2025-11-13 00:00:00</t>
        </is>
      </c>
      <c r="C227" t="inlineStr"/>
      <c r="D227" t="inlineStr">
        <is>
          <t>GUSTO TYPE: CND</t>
        </is>
      </c>
      <c r="E227" t="inlineStr"/>
      <c r="F227" t="inlineStr">
        <is>
          <t>0</t>
        </is>
      </c>
      <c r="G227" t="n">
        <v>620.4</v>
      </c>
    </row>
    <row r="228">
      <c r="A228" t="inlineStr"/>
      <c r="B228" t="inlineStr">
        <is>
          <t>2025-11-13 00:00:00</t>
        </is>
      </c>
      <c r="C228" t="inlineStr"/>
      <c r="D228" t="inlineStr">
        <is>
          <t>GUSTO TYPE: CND</t>
        </is>
      </c>
      <c r="E228" t="inlineStr"/>
      <c r="F228" t="inlineStr">
        <is>
          <t>0</t>
        </is>
      </c>
      <c r="G228" t="n">
        <v>1093.75</v>
      </c>
    </row>
    <row r="229">
      <c r="A229" t="inlineStr"/>
      <c r="B229" t="inlineStr">
        <is>
          <t>2025-11-13 00:00:00</t>
        </is>
      </c>
      <c r="C229" t="inlineStr"/>
      <c r="D229" t="inlineStr">
        <is>
          <t>GUSTO TYPE: CND</t>
        </is>
      </c>
      <c r="E229" t="inlineStr"/>
      <c r="F229" t="inlineStr">
        <is>
          <t>0</t>
        </is>
      </c>
      <c r="G229" t="n">
        <v>1625</v>
      </c>
    </row>
    <row r="230">
      <c r="A230" t="inlineStr"/>
      <c r="B230" t="inlineStr">
        <is>
          <t>2025-11-13 00:00:00</t>
        </is>
      </c>
      <c r="C230" t="inlineStr"/>
      <c r="D230" t="inlineStr">
        <is>
          <t>GUSTO TYPE: CND</t>
        </is>
      </c>
      <c r="E230" t="inlineStr"/>
      <c r="F230" t="inlineStr">
        <is>
          <t>0</t>
        </is>
      </c>
      <c r="G230" t="n">
        <v>4202</v>
      </c>
    </row>
    <row r="231">
      <c r="A231" t="inlineStr"/>
      <c r="B231" t="inlineStr">
        <is>
          <t>2025-11-13 00:00:00</t>
        </is>
      </c>
      <c r="C231" t="inlineStr"/>
      <c r="D231" t="inlineStr">
        <is>
          <t>GUSTO TYPE: CND</t>
        </is>
      </c>
      <c r="E231" t="inlineStr"/>
      <c r="F231" t="inlineStr">
        <is>
          <t>0</t>
        </is>
      </c>
      <c r="G231" t="n">
        <v>4758.75</v>
      </c>
    </row>
    <row r="232">
      <c r="A232" t="inlineStr"/>
      <c r="B232" t="inlineStr">
        <is>
          <t>2025-11-13 00:00:00</t>
        </is>
      </c>
      <c r="C232" t="inlineStr"/>
      <c r="D232" t="inlineStr">
        <is>
          <t>GUSTO TYPE: CND</t>
        </is>
      </c>
      <c r="E232" t="inlineStr"/>
      <c r="F232" t="inlineStr">
        <is>
          <t>0</t>
        </is>
      </c>
      <c r="G232" t="n">
        <v>5340</v>
      </c>
    </row>
    <row r="233">
      <c r="A233" t="inlineStr"/>
      <c r="B233" t="inlineStr">
        <is>
          <t>2025-12-12 00:00:00</t>
        </is>
      </c>
      <c r="C233" t="inlineStr"/>
      <c r="D233" t="inlineStr">
        <is>
          <t>GUSTO TYPE: CND</t>
        </is>
      </c>
      <c r="E233" t="inlineStr"/>
      <c r="F233" t="inlineStr">
        <is>
          <t>0</t>
        </is>
      </c>
      <c r="G233" t="n">
        <v>1195.63</v>
      </c>
    </row>
    <row r="234">
      <c r="A234" t="inlineStr"/>
      <c r="B234" t="inlineStr">
        <is>
          <t>2025-12-12 00:00:00</t>
        </is>
      </c>
      <c r="C234" t="inlineStr"/>
      <c r="D234" t="inlineStr">
        <is>
          <t>GUSTO TYPE: CND</t>
        </is>
      </c>
      <c r="E234" t="inlineStr"/>
      <c r="F234" t="inlineStr">
        <is>
          <t>0</t>
        </is>
      </c>
      <c r="G234" t="n">
        <v>1470.2</v>
      </c>
    </row>
    <row r="235">
      <c r="A235" t="inlineStr"/>
      <c r="B235" t="inlineStr">
        <is>
          <t>2025-12-12 00:00:00</t>
        </is>
      </c>
      <c r="C235" t="inlineStr"/>
      <c r="D235" t="inlineStr">
        <is>
          <t>GUSTO TYPE: CND</t>
        </is>
      </c>
      <c r="E235" t="inlineStr"/>
      <c r="F235" t="inlineStr">
        <is>
          <t>0</t>
        </is>
      </c>
      <c r="G235" t="n">
        <v>1625</v>
      </c>
    </row>
    <row r="236">
      <c r="A236" t="inlineStr"/>
      <c r="B236" t="inlineStr">
        <is>
          <t>2025-12-12 00:00:00</t>
        </is>
      </c>
      <c r="C236" t="inlineStr"/>
      <c r="D236" t="inlineStr">
        <is>
          <t>GUSTO TYPE: CND</t>
        </is>
      </c>
      <c r="E236" t="inlineStr"/>
      <c r="F236" t="inlineStr">
        <is>
          <t>0</t>
        </is>
      </c>
      <c r="G236" t="n">
        <v>3475</v>
      </c>
    </row>
    <row r="237">
      <c r="A237" t="inlineStr"/>
      <c r="B237" t="inlineStr">
        <is>
          <t>2025-12-12 00:00:00</t>
        </is>
      </c>
      <c r="C237" t="inlineStr"/>
      <c r="D237" t="inlineStr">
        <is>
          <t>GUSTO TYPE: CND</t>
        </is>
      </c>
      <c r="E237" t="inlineStr"/>
      <c r="F237" t="inlineStr">
        <is>
          <t>0</t>
        </is>
      </c>
      <c r="G237" t="n">
        <v>4462</v>
      </c>
    </row>
    <row r="238">
      <c r="A238" t="inlineStr"/>
      <c r="B238" t="inlineStr">
        <is>
          <t>2025-12-12 00:00:00</t>
        </is>
      </c>
      <c r="C238" t="inlineStr"/>
      <c r="D238" t="inlineStr">
        <is>
          <t>GUSTO TYPE: CND</t>
        </is>
      </c>
      <c r="E238" t="inlineStr"/>
      <c r="F238" t="inlineStr">
        <is>
          <t>0</t>
        </is>
      </c>
      <c r="G238" t="n">
        <v>5200</v>
      </c>
    </row>
    <row r="239">
      <c r="A239" t="inlineStr"/>
      <c r="B239" t="inlineStr"/>
      <c r="C239" t="inlineStr"/>
      <c r="D239" t="inlineStr"/>
      <c r="E239" t="inlineStr"/>
      <c r="F239" t="inlineStr"/>
      <c r="G239" t="inlineStr"/>
    </row>
    <row r="240">
      <c r="A240" t="inlineStr"/>
      <c r="B240" t="inlineStr"/>
      <c r="C240" t="inlineStr"/>
      <c r="D240" t="inlineStr"/>
      <c r="E240" t="inlineStr"/>
      <c r="F240" t="inlineStr"/>
      <c r="G240" t="inlineStr"/>
    </row>
    <row r="241">
      <c r="A241" t="inlineStr"/>
      <c r="B241" t="inlineStr"/>
      <c r="C241" t="inlineStr"/>
      <c r="D241" t="inlineStr"/>
      <c r="E241" t="inlineStr"/>
      <c r="F241" t="inlineStr"/>
      <c r="G241" t="inlineStr"/>
    </row>
    <row r="242">
      <c r="A242" t="inlineStr"/>
      <c r="B242" t="inlineStr"/>
      <c r="C242" t="inlineStr"/>
      <c r="D242" t="inlineStr"/>
      <c r="E242" t="inlineStr"/>
      <c r="F242" t="inlineStr"/>
      <c r="G242" t="inlineStr"/>
    </row>
    <row r="243">
      <c r="A243" t="inlineStr"/>
      <c r="B243" t="inlineStr"/>
      <c r="C243" t="inlineStr"/>
      <c r="D243" t="inlineStr"/>
      <c r="E243" t="inlineStr"/>
      <c r="F243" t="inlineStr"/>
      <c r="G243" t="inlineStr"/>
    </row>
    <row r="244">
      <c r="A244" t="inlineStr"/>
      <c r="B244" t="inlineStr"/>
      <c r="C244" t="inlineStr"/>
      <c r="D244" t="inlineStr"/>
      <c r="E244" t="inlineStr"/>
      <c r="F244" t="inlineStr"/>
      <c r="G244" t="inlineStr"/>
    </row>
    <row r="245">
      <c r="A245" t="inlineStr"/>
      <c r="B245" t="inlineStr">
        <is>
          <t>2025-11-19 00:00:00</t>
        </is>
      </c>
      <c r="C245" t="inlineStr"/>
      <c r="D245" t="inlineStr">
        <is>
          <t>GUSTO TYPE: NET</t>
        </is>
      </c>
      <c r="E245" t="inlineStr"/>
      <c r="F245" t="inlineStr">
        <is>
          <t>0</t>
        </is>
      </c>
      <c r="G245" t="n">
        <v>114.6</v>
      </c>
    </row>
    <row r="246">
      <c r="A246" t="inlineStr"/>
      <c r="B246" t="inlineStr">
        <is>
          <t>2025-11-19 00:00:00</t>
        </is>
      </c>
      <c r="C246" t="inlineStr"/>
      <c r="D246" t="inlineStr">
        <is>
          <t>GUSTO TYPE: NET</t>
        </is>
      </c>
      <c r="E246" t="inlineStr"/>
      <c r="F246" t="inlineStr">
        <is>
          <t>0</t>
        </is>
      </c>
      <c r="G246" t="n">
        <v>736.8</v>
      </c>
    </row>
    <row r="247">
      <c r="A247" t="inlineStr"/>
      <c r="B247" t="inlineStr">
        <is>
          <t>2025-12-16 00:00:00</t>
        </is>
      </c>
      <c r="C247" t="inlineStr"/>
      <c r="D247" t="inlineStr">
        <is>
          <t>GUSTO TYPE: NET</t>
        </is>
      </c>
      <c r="E247" t="inlineStr"/>
      <c r="F247" t="inlineStr">
        <is>
          <t>0</t>
        </is>
      </c>
      <c r="G247" t="n">
        <v>948.58</v>
      </c>
    </row>
    <row r="248">
      <c r="A248" t="inlineStr"/>
      <c r="B248" t="inlineStr">
        <is>
          <t>2025-10-02 00:00:00</t>
        </is>
      </c>
      <c r="C248" t="inlineStr"/>
      <c r="D248" t="inlineStr">
        <is>
          <t>GUSTO TYPE: NET</t>
        </is>
      </c>
      <c r="E248" t="inlineStr"/>
      <c r="F248" t="inlineStr">
        <is>
          <t>0</t>
        </is>
      </c>
      <c r="G248" t="n">
        <v>717.64</v>
      </c>
    </row>
    <row r="249">
      <c r="A249" t="inlineStr"/>
      <c r="B249" t="inlineStr">
        <is>
          <t>2025-10-30 00:00:00</t>
        </is>
      </c>
      <c r="C249" t="inlineStr"/>
      <c r="D249" t="inlineStr">
        <is>
          <t>GUSTO TYPE: NET</t>
        </is>
      </c>
      <c r="E249" t="inlineStr"/>
      <c r="F249" t="inlineStr">
        <is>
          <t>0</t>
        </is>
      </c>
      <c r="G249" t="n">
        <v>741.73</v>
      </c>
    </row>
    <row r="250">
      <c r="A250" t="inlineStr"/>
      <c r="B250" t="inlineStr">
        <is>
          <t>2025-10-30 00:00:00</t>
        </is>
      </c>
      <c r="C250" t="inlineStr"/>
      <c r="D250" t="inlineStr">
        <is>
          <t>GUSTO TYPE: NET</t>
        </is>
      </c>
      <c r="E250" t="inlineStr"/>
      <c r="F250" t="inlineStr">
        <is>
          <t>0</t>
        </is>
      </c>
      <c r="G250" t="n">
        <v>108094.51</v>
      </c>
    </row>
    <row r="251">
      <c r="A251" t="inlineStr"/>
      <c r="B251" t="inlineStr">
        <is>
          <t>2025-11-28 00:00:00</t>
        </is>
      </c>
      <c r="C251" t="inlineStr"/>
      <c r="D251" t="inlineStr">
        <is>
          <t>GUSTO TYPE: NET</t>
        </is>
      </c>
      <c r="E251" t="inlineStr"/>
      <c r="F251" t="inlineStr">
        <is>
          <t>0</t>
        </is>
      </c>
      <c r="G251" t="n">
        <v>94370.58</v>
      </c>
    </row>
    <row r="252">
      <c r="A252" t="inlineStr"/>
      <c r="B252" t="inlineStr">
        <is>
          <t>2025-12-30 00:00:00</t>
        </is>
      </c>
      <c r="C252" t="inlineStr"/>
      <c r="D252" t="inlineStr">
        <is>
          <t>GUSTO TYPE: NET</t>
        </is>
      </c>
      <c r="E252" t="inlineStr"/>
      <c r="F252" t="inlineStr">
        <is>
          <t>0</t>
        </is>
      </c>
      <c r="G252" t="n">
        <v>255.25</v>
      </c>
    </row>
    <row r="253">
      <c r="A253" t="inlineStr"/>
      <c r="B253" t="inlineStr">
        <is>
          <t>2025-12-30 00:00:00</t>
        </is>
      </c>
      <c r="C253" t="inlineStr"/>
      <c r="D253" t="inlineStr">
        <is>
          <t>GUSTO TYPE: NET</t>
        </is>
      </c>
      <c r="E253" t="inlineStr"/>
      <c r="F253" t="inlineStr">
        <is>
          <t>0</t>
        </is>
      </c>
      <c r="G253" t="n">
        <v>104413.76</v>
      </c>
    </row>
    <row r="254">
      <c r="A254" t="inlineStr"/>
      <c r="B254" t="inlineStr">
        <is>
          <t>2025-10-10 00:00:00</t>
        </is>
      </c>
      <c r="C254" t="inlineStr"/>
      <c r="D254" t="inlineStr">
        <is>
          <t>GUSTO TYPE: NET</t>
        </is>
      </c>
      <c r="E254" t="inlineStr"/>
      <c r="F254" t="inlineStr">
        <is>
          <t>0</t>
        </is>
      </c>
      <c r="G254" t="n">
        <v>1544.58</v>
      </c>
    </row>
    <row r="255">
      <c r="A255" t="inlineStr"/>
      <c r="B255" t="inlineStr">
        <is>
          <t>2025-12-02 00:00:00</t>
        </is>
      </c>
      <c r="C255" t="inlineStr"/>
      <c r="D255" t="inlineStr">
        <is>
          <t>GUSTO TYPE: NET</t>
        </is>
      </c>
      <c r="E255" t="inlineStr"/>
      <c r="F255" t="inlineStr">
        <is>
          <t>0</t>
        </is>
      </c>
      <c r="G255" t="n">
        <v>694.03</v>
      </c>
    </row>
    <row r="256">
      <c r="A256" t="inlineStr"/>
      <c r="B256" t="inlineStr">
        <is>
          <t>2025-10-14 00:00:00</t>
        </is>
      </c>
      <c r="C256" t="inlineStr"/>
      <c r="D256" t="inlineStr">
        <is>
          <t>GUSTO TYPE: NET</t>
        </is>
      </c>
      <c r="E256" t="inlineStr"/>
      <c r="F256" t="inlineStr">
        <is>
          <t>0</t>
        </is>
      </c>
      <c r="G256" t="n">
        <v>84337.58</v>
      </c>
    </row>
    <row r="257">
      <c r="A257" t="inlineStr"/>
      <c r="B257" t="inlineStr">
        <is>
          <t>2025-12-03 00:00:00</t>
        </is>
      </c>
      <c r="C257" t="inlineStr"/>
      <c r="D257" t="inlineStr">
        <is>
          <t>GUSTO TYPE: NET</t>
        </is>
      </c>
      <c r="E257" t="inlineStr"/>
      <c r="F257" t="inlineStr">
        <is>
          <t>0</t>
        </is>
      </c>
      <c r="G257" t="n">
        <v>65.62</v>
      </c>
    </row>
    <row r="258">
      <c r="A258" t="inlineStr"/>
      <c r="B258" t="inlineStr">
        <is>
          <t>2025-10-16 00:00:00</t>
        </is>
      </c>
      <c r="C258" t="inlineStr"/>
      <c r="D258" t="inlineStr">
        <is>
          <t>GUSTO TYPE: NET</t>
        </is>
      </c>
      <c r="E258" t="inlineStr"/>
      <c r="F258" t="inlineStr">
        <is>
          <t>0</t>
        </is>
      </c>
      <c r="G258" t="n">
        <v>2460.39</v>
      </c>
    </row>
    <row r="259">
      <c r="A259" t="inlineStr"/>
      <c r="B259" t="inlineStr">
        <is>
          <t>2025-10-16 00:00:00</t>
        </is>
      </c>
      <c r="C259" t="inlineStr"/>
      <c r="D259" t="inlineStr">
        <is>
          <t>GUSTO TYPE: NET</t>
        </is>
      </c>
      <c r="E259" t="inlineStr"/>
      <c r="F259" t="inlineStr">
        <is>
          <t>0</t>
        </is>
      </c>
      <c r="G259" t="n">
        <v>279.18</v>
      </c>
    </row>
    <row r="260">
      <c r="A260" t="inlineStr"/>
      <c r="B260" t="inlineStr">
        <is>
          <t>2025-11-13 00:00:00</t>
        </is>
      </c>
      <c r="C260" t="inlineStr"/>
      <c r="D260" t="inlineStr">
        <is>
          <t>GUSTO TYPE: NET</t>
        </is>
      </c>
      <c r="E260" t="inlineStr"/>
      <c r="F260" t="inlineStr">
        <is>
          <t>0</t>
        </is>
      </c>
      <c r="G260" t="n">
        <v>84583.39</v>
      </c>
    </row>
    <row r="261">
      <c r="A261" t="inlineStr"/>
      <c r="B261" t="inlineStr">
        <is>
          <t>2025-10-21 00:00:00</t>
        </is>
      </c>
      <c r="C261" t="inlineStr"/>
      <c r="D261" t="inlineStr">
        <is>
          <t>GUSTO TYPE: NET</t>
        </is>
      </c>
      <c r="E261" t="inlineStr"/>
      <c r="F261" t="inlineStr">
        <is>
          <t>0</t>
        </is>
      </c>
      <c r="G261" t="n">
        <v>318.65</v>
      </c>
    </row>
    <row r="262">
      <c r="A262" t="inlineStr"/>
      <c r="B262" t="inlineStr">
        <is>
          <t>2025-10-22 00:00:00</t>
        </is>
      </c>
      <c r="C262" t="inlineStr"/>
      <c r="D262" t="inlineStr">
        <is>
          <t>GUSTO TYPE: NET</t>
        </is>
      </c>
      <c r="E262" t="inlineStr"/>
      <c r="F262" t="inlineStr">
        <is>
          <t>0</t>
        </is>
      </c>
      <c r="G262" t="n">
        <v>570.64</v>
      </c>
    </row>
    <row r="263">
      <c r="A263" t="inlineStr"/>
      <c r="B263" t="inlineStr">
        <is>
          <t>2025-12-12 00:00:00</t>
        </is>
      </c>
      <c r="C263" t="inlineStr"/>
      <c r="D263" t="inlineStr">
        <is>
          <t>GUSTO TYPE: NET</t>
        </is>
      </c>
      <c r="E263" t="inlineStr"/>
      <c r="F263" t="inlineStr">
        <is>
          <t>0</t>
        </is>
      </c>
      <c r="G263" t="n">
        <v>86233.3</v>
      </c>
    </row>
    <row r="264">
      <c r="A264" t="inlineStr"/>
      <c r="B264" t="inlineStr"/>
      <c r="C264" t="inlineStr"/>
      <c r="D264" t="inlineStr"/>
      <c r="E264" t="inlineStr"/>
      <c r="F264" t="inlineStr"/>
      <c r="G264" t="inlineStr"/>
    </row>
    <row r="265">
      <c r="A265" t="inlineStr"/>
      <c r="B265" t="inlineStr">
        <is>
          <t>2025-11-19 00:00:00</t>
        </is>
      </c>
      <c r="C265" t="inlineStr"/>
      <c r="D265" t="inlineStr">
        <is>
          <t>GUSTO TYPE: TAX</t>
        </is>
      </c>
      <c r="E265" t="inlineStr"/>
      <c r="F265" t="inlineStr">
        <is>
          <t>0</t>
        </is>
      </c>
      <c r="G265" t="n">
        <v>21.44</v>
      </c>
    </row>
    <row r="266">
      <c r="A266" t="inlineStr"/>
      <c r="B266" t="inlineStr">
        <is>
          <t>2025-11-19 00:00:00</t>
        </is>
      </c>
      <c r="C266" t="inlineStr"/>
      <c r="D266" t="inlineStr">
        <is>
          <t>GUSTO TYPE: TAX</t>
        </is>
      </c>
      <c r="E266" t="inlineStr"/>
      <c r="F266" t="inlineStr">
        <is>
          <t>0</t>
        </is>
      </c>
      <c r="G266" t="n">
        <v>139.9</v>
      </c>
    </row>
    <row r="267">
      <c r="A267" t="inlineStr"/>
      <c r="B267" t="inlineStr">
        <is>
          <t>2025-10-24 00:00:00</t>
        </is>
      </c>
      <c r="C267" t="inlineStr"/>
      <c r="D267" t="inlineStr">
        <is>
          <t>GUSTO TYPE: TAX</t>
        </is>
      </c>
      <c r="E267" t="inlineStr"/>
      <c r="F267" t="inlineStr">
        <is>
          <t>0</t>
        </is>
      </c>
      <c r="G267" t="n">
        <v>260.76</v>
      </c>
    </row>
    <row r="268">
      <c r="A268" t="inlineStr"/>
      <c r="B268" t="inlineStr">
        <is>
          <t>2025-12-16 00:00:00</t>
        </is>
      </c>
      <c r="C268" t="inlineStr"/>
      <c r="D268" t="inlineStr">
        <is>
          <t>GUSTO TYPE: TAX</t>
        </is>
      </c>
      <c r="E268" t="inlineStr"/>
      <c r="F268" t="inlineStr">
        <is>
          <t>0</t>
        </is>
      </c>
      <c r="G268" t="n">
        <v>208.42</v>
      </c>
    </row>
    <row r="269">
      <c r="A269" t="inlineStr"/>
      <c r="B269" t="inlineStr">
        <is>
          <t>2025-10-02 00:00:00</t>
        </is>
      </c>
      <c r="C269" t="inlineStr"/>
      <c r="D269" t="inlineStr">
        <is>
          <t>GUSTO TYPE: TAX</t>
        </is>
      </c>
      <c r="E269" t="inlineStr"/>
      <c r="F269" t="inlineStr">
        <is>
          <t>0</t>
        </is>
      </c>
      <c r="G269" t="n">
        <v>152.72</v>
      </c>
    </row>
    <row r="270">
      <c r="A270" t="inlineStr"/>
      <c r="B270" t="inlineStr">
        <is>
          <t>2025-10-30 00:00:00</t>
        </is>
      </c>
      <c r="C270" t="inlineStr"/>
      <c r="D270" t="inlineStr">
        <is>
          <t>GUSTO TYPE: TAX</t>
        </is>
      </c>
      <c r="E270" t="inlineStr"/>
      <c r="F270" t="inlineStr">
        <is>
          <t>0</t>
        </is>
      </c>
      <c r="G270" t="n">
        <v>36899.25</v>
      </c>
    </row>
    <row r="271">
      <c r="A271" t="inlineStr"/>
      <c r="B271" t="inlineStr">
        <is>
          <t>2025-10-30 00:00:00</t>
        </is>
      </c>
      <c r="C271" t="inlineStr"/>
      <c r="D271" t="inlineStr">
        <is>
          <t>GUSTO TYPE: TAX</t>
        </is>
      </c>
      <c r="E271" t="inlineStr"/>
      <c r="F271" t="inlineStr">
        <is>
          <t>0</t>
        </is>
      </c>
      <c r="G271" t="n">
        <v>134.27</v>
      </c>
    </row>
    <row r="272">
      <c r="A272" t="inlineStr"/>
      <c r="B272" t="inlineStr">
        <is>
          <t>2025-11-28 00:00:00</t>
        </is>
      </c>
      <c r="C272" t="inlineStr"/>
      <c r="D272" t="inlineStr">
        <is>
          <t>GUSTO TYPE: TAX</t>
        </is>
      </c>
      <c r="E272" t="inlineStr"/>
      <c r="F272" t="inlineStr">
        <is>
          <t>0</t>
        </is>
      </c>
      <c r="G272" t="n">
        <v>30377.81</v>
      </c>
    </row>
    <row r="273">
      <c r="A273" t="inlineStr"/>
      <c r="B273" t="inlineStr">
        <is>
          <t>2025-12-30 00:00:00</t>
        </is>
      </c>
      <c r="C273" t="inlineStr"/>
      <c r="D273" t="inlineStr">
        <is>
          <t>GUSTO TYPE: TAX</t>
        </is>
      </c>
      <c r="E273" t="inlineStr"/>
      <c r="F273" t="inlineStr">
        <is>
          <t>0</t>
        </is>
      </c>
      <c r="G273" t="n">
        <v>47.79</v>
      </c>
    </row>
    <row r="274">
      <c r="A274" t="inlineStr"/>
      <c r="B274" t="inlineStr">
        <is>
          <t>2025-12-30 00:00:00</t>
        </is>
      </c>
      <c r="C274" t="inlineStr"/>
      <c r="D274" t="inlineStr">
        <is>
          <t>GUSTO TYPE: TAX</t>
        </is>
      </c>
      <c r="E274" t="inlineStr"/>
      <c r="F274" t="inlineStr">
        <is>
          <t>0</t>
        </is>
      </c>
      <c r="G274" t="n">
        <v>35094.93</v>
      </c>
    </row>
    <row r="275">
      <c r="A275" t="inlineStr"/>
      <c r="B275" t="inlineStr">
        <is>
          <t>2025-10-10 00:00:00</t>
        </is>
      </c>
      <c r="C275" t="inlineStr"/>
      <c r="D275" t="inlineStr">
        <is>
          <t>GUSTO TYPE: TAX</t>
        </is>
      </c>
      <c r="E275" t="inlineStr"/>
      <c r="F275" t="inlineStr">
        <is>
          <t>0</t>
        </is>
      </c>
      <c r="G275" t="n">
        <v>514.15</v>
      </c>
    </row>
    <row r="276">
      <c r="A276" t="inlineStr"/>
      <c r="B276" t="inlineStr">
        <is>
          <t>2025-12-02 00:00:00</t>
        </is>
      </c>
      <c r="C276" t="inlineStr"/>
      <c r="D276" t="inlineStr">
        <is>
          <t>GUSTO TYPE: TAX</t>
        </is>
      </c>
      <c r="E276" t="inlineStr"/>
      <c r="F276" t="inlineStr">
        <is>
          <t>0</t>
        </is>
      </c>
      <c r="G276" t="n">
        <v>153.45</v>
      </c>
    </row>
    <row r="277">
      <c r="A277" t="inlineStr"/>
      <c r="B277" t="inlineStr">
        <is>
          <t>2025-10-14 00:00:00</t>
        </is>
      </c>
      <c r="C277" t="inlineStr"/>
      <c r="D277" t="inlineStr">
        <is>
          <t>GUSTO TYPE: TAX</t>
        </is>
      </c>
      <c r="E277" t="inlineStr"/>
      <c r="F277" t="inlineStr">
        <is>
          <t>0</t>
        </is>
      </c>
      <c r="G277" t="n">
        <v>26280.81</v>
      </c>
    </row>
    <row r="278">
      <c r="A278" t="inlineStr"/>
      <c r="B278" t="inlineStr">
        <is>
          <t>2025-12-03 00:00:00</t>
        </is>
      </c>
      <c r="C278" t="inlineStr"/>
      <c r="D278" t="inlineStr">
        <is>
          <t>GUSTO TYPE: TAX</t>
        </is>
      </c>
      <c r="E278" t="inlineStr"/>
      <c r="F278" t="inlineStr">
        <is>
          <t>0</t>
        </is>
      </c>
      <c r="G278" t="n">
        <v>14.99</v>
      </c>
    </row>
    <row r="279">
      <c r="A279" t="inlineStr"/>
      <c r="B279" t="inlineStr">
        <is>
          <t>2025-11-10 00:00:00</t>
        </is>
      </c>
      <c r="C279" t="inlineStr"/>
      <c r="D279" t="inlineStr">
        <is>
          <t>GUSTO TYPE: TAX</t>
        </is>
      </c>
      <c r="E279" t="inlineStr"/>
      <c r="F279" t="inlineStr">
        <is>
          <t>0</t>
        </is>
      </c>
      <c r="G279" t="n">
        <v>176.79</v>
      </c>
    </row>
    <row r="280">
      <c r="A280" t="inlineStr"/>
      <c r="B280" t="inlineStr">
        <is>
          <t>2025-10-16 00:00:00</t>
        </is>
      </c>
      <c r="C280" t="inlineStr"/>
      <c r="D280" t="inlineStr">
        <is>
          <t>GUSTO TYPE: TAX</t>
        </is>
      </c>
      <c r="E280" t="inlineStr"/>
      <c r="F280" t="inlineStr">
        <is>
          <t>0</t>
        </is>
      </c>
      <c r="G280" t="n">
        <v>54.11</v>
      </c>
    </row>
    <row r="281">
      <c r="A281" t="inlineStr"/>
      <c r="B281" t="inlineStr">
        <is>
          <t>2025-10-16 00:00:00</t>
        </is>
      </c>
      <c r="C281" t="inlineStr"/>
      <c r="D281" t="inlineStr">
        <is>
          <t>GUSTO TYPE: TAX</t>
        </is>
      </c>
      <c r="E281" t="inlineStr"/>
      <c r="F281" t="inlineStr">
        <is>
          <t>0</t>
        </is>
      </c>
      <c r="G281" t="n">
        <v>497.29</v>
      </c>
    </row>
    <row r="282">
      <c r="A282" t="inlineStr"/>
      <c r="B282" t="inlineStr">
        <is>
          <t>2025-11-13 00:00:00</t>
        </is>
      </c>
      <c r="C282" t="inlineStr"/>
      <c r="D282" t="inlineStr">
        <is>
          <t>GUSTO TYPE: TAX</t>
        </is>
      </c>
      <c r="E282" t="inlineStr"/>
      <c r="F282" t="inlineStr">
        <is>
          <t>0</t>
        </is>
      </c>
      <c r="G282" t="n">
        <v>26515.26</v>
      </c>
    </row>
    <row r="283">
      <c r="A283" t="inlineStr"/>
      <c r="B283" t="inlineStr">
        <is>
          <t>2025-10-21 00:00:00</t>
        </is>
      </c>
      <c r="C283" t="inlineStr"/>
      <c r="D283" t="inlineStr">
        <is>
          <t>GUSTO TYPE: TAX</t>
        </is>
      </c>
      <c r="E283" t="inlineStr"/>
      <c r="F283" t="inlineStr">
        <is>
          <t>0</t>
        </is>
      </c>
      <c r="G283" t="n">
        <v>72.72</v>
      </c>
    </row>
    <row r="284">
      <c r="A284" t="inlineStr"/>
      <c r="B284" t="inlineStr">
        <is>
          <t>2025-10-22 00:00:00</t>
        </is>
      </c>
      <c r="C284" t="inlineStr"/>
      <c r="D284" t="inlineStr">
        <is>
          <t>GUSTO TYPE: TAX</t>
        </is>
      </c>
      <c r="E284" t="inlineStr"/>
      <c r="F284" t="inlineStr">
        <is>
          <t>0</t>
        </is>
      </c>
      <c r="G284" t="n">
        <v>105.92</v>
      </c>
    </row>
    <row r="285">
      <c r="A285" t="inlineStr"/>
      <c r="B285" t="inlineStr">
        <is>
          <t>2025-12-12 00:00:00</t>
        </is>
      </c>
      <c r="C285" t="inlineStr"/>
      <c r="D285" t="inlineStr">
        <is>
          <t>GUSTO TYPE: TAX</t>
        </is>
      </c>
      <c r="E285" t="inlineStr"/>
      <c r="F285" t="inlineStr">
        <is>
          <t>0</t>
        </is>
      </c>
      <c r="G285" t="n">
        <v>27114.14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Nate Tyler</dc:creator>
  <dcterms:created xsi:type="dcterms:W3CDTF">2026-01-07T22:00:21Z</dcterms:created>
  <dcterms:modified xsi:type="dcterms:W3CDTF">2026-01-19T19:42:04Z</dcterms:modified>
  <cp:lastModifiedBy>Nate Tyler</cp:lastModifiedBy>
</cp:coreProperties>
</file>