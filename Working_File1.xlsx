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3905" windowWidth="16440" windowHeight="28320" tabRatio="600" firstSheet="0" activeTab="0" autoFilterDateGrouping="1"/>
  </bookViews>
  <sheets>
    <sheet name="Sheet1" sheetId="1" state="visible" r:id="rId1"/>
    <sheet name="Clean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5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15"/>
  <sheetViews>
    <sheetView tabSelected="1" workbookViewId="0">
      <selection activeCell="C207" sqref="C207"/>
    </sheetView>
  </sheetViews>
  <sheetFormatPr baseColWidth="8" defaultRowHeight="14.5"/>
  <cols>
    <col width="15.08984375" customWidth="1" min="1" max="1"/>
    <col width="11.26953125" bestFit="1" customWidth="1" min="2" max="2"/>
    <col width="11.26953125" customWidth="1" min="3" max="3"/>
    <col width="105.26953125" bestFit="1" customWidth="1" min="4" max="4"/>
    <col width="6.81640625" bestFit="1" customWidth="1" min="5" max="5"/>
    <col width="13.1796875" bestFit="1" customWidth="1" style="3" min="6" max="7"/>
  </cols>
  <sheetData>
    <row r="2">
      <c r="E2" t="inlineStr">
        <is>
          <t>DIFF</t>
        </is>
      </c>
      <c r="F2" s="3">
        <f>F3-F4</f>
        <v/>
      </c>
      <c r="G2" s="3">
        <f>G3-G4</f>
        <v/>
      </c>
    </row>
    <row r="3">
      <c r="E3" t="inlineStr">
        <is>
          <t>STMT</t>
        </is>
      </c>
      <c r="F3" s="3">
        <f>13266+9212.68+33536.89+24452.92+17306.96+10247.76+25975.22+11679.46+11784.62+11856.32+16845.18</f>
        <v/>
      </c>
      <c r="G3" s="3">
        <f>11155.65+7243.6+37130.21+20669.28+17126.09+15106.47+23551.77+11591.93+9743.47+10394.46+13262.25</f>
        <v/>
      </c>
    </row>
    <row r="4">
      <c r="E4" t="inlineStr">
        <is>
          <t>TOTAL</t>
        </is>
      </c>
      <c r="F4" s="3">
        <f>SUM(F7:F315)</f>
        <v/>
      </c>
      <c r="G4" s="3">
        <f>SUM(G7:G315)*-1</f>
        <v/>
      </c>
    </row>
    <row r="6">
      <c r="B6" t="inlineStr">
        <is>
          <t>date</t>
        </is>
      </c>
      <c r="D6" t="inlineStr">
        <is>
          <t>description</t>
        </is>
      </c>
      <c r="F6" s="3" t="inlineStr">
        <is>
          <t>amount</t>
        </is>
      </c>
    </row>
    <row r="7">
      <c r="B7" s="1" t="n">
        <v>45938</v>
      </c>
      <c r="C7" s="1" t="n"/>
      <c r="D7" t="inlineStr">
        <is>
          <t>eBay Com17IIPQN7 - PAYMENTS NTE*ZZZ*P7123341836\ KXERVLIQZI6RG6E 21000026796330</t>
        </is>
      </c>
      <c r="F7" s="3" t="n">
        <v>3437.04</v>
      </c>
      <c r="G7" s="3" t="n">
        <v>0</v>
      </c>
    </row>
    <row r="8">
      <c r="B8" s="1" t="n">
        <v>45812</v>
      </c>
      <c r="C8" s="1" t="n"/>
      <c r="D8" t="inlineStr">
        <is>
          <t>eBay Com1DPNPEWR - PAYMENTS NTE*ZZZ*P6916957940\ WQM3SZHQCKCC463 21000025020408.00</t>
        </is>
      </c>
      <c r="F8" s="3" t="n">
        <v>2791.36</v>
      </c>
      <c r="G8" s="3" t="n">
        <v>0</v>
      </c>
    </row>
    <row r="9">
      <c r="B9" s="1" t="n">
        <v>45896</v>
      </c>
      <c r="C9" s="1" t="n"/>
      <c r="D9" t="inlineStr">
        <is>
          <t>eBay Com2WY8SL5N - PAYMENTS NTE*ZZZ*P7054750892\ PGUJTJXTX2UK267 21000022731509.00</t>
        </is>
      </c>
      <c r="F9" s="3" t="n">
        <v>2837.14</v>
      </c>
      <c r="G9" s="3" t="n">
        <v>0</v>
      </c>
    </row>
    <row r="10">
      <c r="B10" s="1" t="n">
        <v>45742</v>
      </c>
      <c r="C10" s="1" t="n"/>
      <c r="D10" t="inlineStr">
        <is>
          <t>eBay Com3IIE8JKI - PAYMENTS NTE*ZZZ*P6814383956\ 5XXVWM4SUMNCU6N 21000025383725.00</t>
        </is>
      </c>
      <c r="F10" s="3" t="n">
        <v>3826.28</v>
      </c>
      <c r="G10" s="3" t="n">
        <v>0</v>
      </c>
    </row>
    <row r="11">
      <c r="B11" s="1" t="n">
        <v>45798</v>
      </c>
      <c r="C11" s="1" t="n"/>
      <c r="D11" t="inlineStr">
        <is>
          <t>eBay Com4EVAJSR9 - PAYMENTS NTE*ZZZ*P6896347964\ OE5BIWCTKVMW363 21000022009157.00</t>
        </is>
      </c>
      <c r="F11" s="3" t="n">
        <v>3933.48</v>
      </c>
      <c r="G11" s="3" t="n">
        <v>0</v>
      </c>
    </row>
    <row r="12">
      <c r="B12" s="1" t="n">
        <v>46015</v>
      </c>
      <c r="C12" s="1" t="n"/>
      <c r="D12" t="inlineStr">
        <is>
          <t>eBay Com5DVIGOQD - PAYMENTS NTE*ZZZ*P7250281220\ 3CSEEMRQUPPGH65 21000025105995.00</t>
        </is>
      </c>
      <c r="F12" s="3" t="n">
        <v>3442.84</v>
      </c>
      <c r="G12" s="3" t="n">
        <v>0</v>
      </c>
    </row>
    <row r="13">
      <c r="B13" s="1" t="n">
        <v>45889</v>
      </c>
      <c r="C13" s="1" t="n"/>
      <c r="D13" t="inlineStr">
        <is>
          <t>eBay Com5FAAYIIJ - PAYMENTS NTE*ZZZ*P7041932156\ ANDL31QQ6MMQR6I 21000022494517.00</t>
        </is>
      </c>
      <c r="F13" s="3" t="n">
        <v>3330.33</v>
      </c>
      <c r="G13" s="3" t="n">
        <v>0</v>
      </c>
    </row>
    <row r="14">
      <c r="B14" s="1" t="n">
        <v>45700</v>
      </c>
      <c r="C14" s="1" t="n"/>
      <c r="D14" t="inlineStr">
        <is>
          <t>eBay Com5W9UZX73 - PAYMENTS NTE*ZZZ*P6754963748\ 2V85EQGQPGHOM63 21000024792404.00</t>
        </is>
      </c>
      <c r="F14" s="3" t="n">
        <v>1811.92</v>
      </c>
      <c r="G14" s="3" t="n">
        <v>0</v>
      </c>
    </row>
    <row r="15">
      <c r="B15" s="1" t="n">
        <v>45833</v>
      </c>
      <c r="C15" s="1" t="n"/>
      <c r="D15" t="inlineStr">
        <is>
          <t>eBay Com6UVKEVZA - PAYMENTS NTE*ZZZ*P6948841748\ IZ7RSQJTMWDPI6K 21000022051739.00</t>
        </is>
      </c>
      <c r="F15" s="3" t="n">
        <v>2858.39</v>
      </c>
      <c r="G15" s="3" t="n">
        <v>0</v>
      </c>
    </row>
    <row r="16">
      <c r="B16" s="1" t="n">
        <v>45945</v>
      </c>
      <c r="C16" s="1" t="n"/>
      <c r="D16" t="inlineStr">
        <is>
          <t>eBay Com7D01PTFU - PAYMENTS NTE*ZZZ*P7135504340\ FYVF9JHQJMKGB6I 21000022753799</t>
        </is>
      </c>
      <c r="F16" s="3" t="n">
        <v>1964.87</v>
      </c>
      <c r="G16" s="3" t="n">
        <v>0</v>
      </c>
    </row>
    <row r="17">
      <c r="B17" s="1" t="n">
        <v>45749</v>
      </c>
      <c r="C17" s="1" t="n"/>
      <c r="D17" t="inlineStr">
        <is>
          <t>eBay Com8I5YMJ0X - PAYMENTS NTE*ZZZ*P6825331580\ 3WTEF9DRWCGEF6F 21000020584752.00</t>
        </is>
      </c>
      <c r="F17" s="3" t="n">
        <v>3093.46</v>
      </c>
      <c r="G17" s="3" t="n">
        <v>0</v>
      </c>
    </row>
    <row r="18">
      <c r="B18" s="1" t="n">
        <v>46001</v>
      </c>
      <c r="C18" s="1" t="n"/>
      <c r="D18" t="inlineStr">
        <is>
          <t>eBay ComAKWKAQTX - PAYMENTS NTE*ZZZ*P7227045596\ EVT5KQRHUEDCQ6N 21000028021171.00</t>
        </is>
      </c>
      <c r="F18" s="3" t="n">
        <v>3834.63</v>
      </c>
      <c r="G18" s="3" t="n">
        <v>0</v>
      </c>
    </row>
    <row r="19">
      <c r="B19" s="1" t="n">
        <v>45917</v>
      </c>
      <c r="C19" s="1" t="n"/>
      <c r="D19" t="inlineStr">
        <is>
          <t>eBay ComAV72WEXK - PAYMENTS NTE*ZZZ*P7088828780\ P3JPEQGTAAUYM69 21000021886098</t>
        </is>
      </c>
      <c r="F19" s="3" t="n">
        <v>2625.4</v>
      </c>
      <c r="G19" s="3" t="n">
        <v>0</v>
      </c>
    </row>
    <row r="20">
      <c r="B20" s="1" t="n">
        <v>45910</v>
      </c>
      <c r="C20" s="1" t="n"/>
      <c r="D20" t="inlineStr">
        <is>
          <t>eBay ComB98HFJPM - PAYMENTS NTE*ZZZ*P7077085676\ ZUFNBEQMKV0FM6M 21000021412076</t>
        </is>
      </c>
      <c r="F20" s="3" t="n">
        <v>2768.09</v>
      </c>
      <c r="G20" s="3" t="n">
        <v>0</v>
      </c>
    </row>
    <row r="21">
      <c r="B21" s="1" t="n">
        <v>45847</v>
      </c>
      <c r="C21" s="1" t="n"/>
      <c r="D21" t="inlineStr">
        <is>
          <t>eBay ComBHZ3N3BO - PAYMENTS NTE*ZZZ*P6972364028\ EG6JCP7RPOE0W67 21000020686095.00</t>
        </is>
      </c>
      <c r="F21" s="3" t="n">
        <v>1670.96</v>
      </c>
      <c r="G21" s="3" t="n">
        <v>0</v>
      </c>
    </row>
    <row r="22">
      <c r="B22" s="1" t="n">
        <v>45672</v>
      </c>
      <c r="C22" s="1" t="n"/>
      <c r="D22" t="inlineStr">
        <is>
          <t>eBay ComBYVZDXZW - PAYMENTS NTE*ZZZ*P6716530364\ GKFPUINQ0SRXE64 21000026244228.00</t>
        </is>
      </c>
      <c r="F22" s="3" t="n">
        <v>1730.48</v>
      </c>
      <c r="G22" s="3" t="n">
        <v>0</v>
      </c>
    </row>
    <row r="23">
      <c r="B23" s="1" t="n">
        <v>45665</v>
      </c>
      <c r="C23" s="1" t="n"/>
      <c r="D23" t="inlineStr">
        <is>
          <t>eBay ComDDF425EK - PAYMENTS NTE*ZZZ*P6707279108\ BGUFHXS0AZVPA60 21000028153073.00</t>
        </is>
      </c>
      <c r="F23" s="3" t="n">
        <v>1774.92</v>
      </c>
      <c r="G23" s="3" t="n">
        <v>0</v>
      </c>
    </row>
    <row r="24">
      <c r="B24" s="1" t="n">
        <v>45931</v>
      </c>
      <c r="C24" s="1" t="n"/>
      <c r="D24" t="inlineStr">
        <is>
          <t>eBay ComDGJKS3JT - PAYMENTS NTE*ZZZ*P7110309044\ UL9QD4CSCYMCO6L 21000021923558</t>
        </is>
      </c>
      <c r="F24" s="3" t="n">
        <v>1035.71</v>
      </c>
      <c r="G24" s="3" t="n">
        <v>0</v>
      </c>
    </row>
    <row r="25">
      <c r="B25" s="1" t="n">
        <v>45952</v>
      </c>
      <c r="C25" s="1" t="n"/>
      <c r="D25" t="inlineStr">
        <is>
          <t>eBay ComDZT16WHR - PAYMENTS NTE*ZZZ*P7146510812\ 8UGQZ0XQ8OKIZ63 21000028621713</t>
        </is>
      </c>
      <c r="F25" s="3" t="n">
        <v>2812.2</v>
      </c>
      <c r="G25" s="3" t="n">
        <v>0</v>
      </c>
    </row>
    <row r="26">
      <c r="B26" s="1" t="n">
        <v>46008</v>
      </c>
      <c r="C26" s="1" t="n"/>
      <c r="D26" t="inlineStr">
        <is>
          <t>eBay ComE1XGHJW3 - PAYMENTS NTE*ZZZ*P7238871188\ REO7DOTS9M5CQ64 21000024947135.00</t>
        </is>
      </c>
      <c r="F26" s="3" t="n">
        <v>3356.68</v>
      </c>
      <c r="G26" s="3" t="n">
        <v>0</v>
      </c>
    </row>
    <row r="27">
      <c r="B27" s="1" t="n">
        <v>45658</v>
      </c>
      <c r="C27" s="1" t="n"/>
      <c r="D27" t="inlineStr">
        <is>
          <t>eBay ComFFYBW7O5 - PAYMENTS NTE*ZZZ*P6697328156\ KL2KGJXQBAQTP67 21000029231582.00</t>
        </is>
      </c>
      <c r="F27" s="3" t="n">
        <v>1185.9</v>
      </c>
      <c r="G27" s="3" t="n">
        <v>0</v>
      </c>
    </row>
    <row r="28">
      <c r="B28" s="1" t="n">
        <v>45770</v>
      </c>
      <c r="C28" s="1" t="n"/>
      <c r="D28" t="inlineStr">
        <is>
          <t>eBay ComFRNS92WA - PAYMENTS NTE*ZZZ*P6854998892\ HHPWJWCR2GZOT6H 21000022809947.00</t>
        </is>
      </c>
      <c r="F28" s="3" t="n">
        <v>1074.4</v>
      </c>
      <c r="G28" s="3" t="n">
        <v>0</v>
      </c>
    </row>
    <row r="29">
      <c r="B29" s="1" t="n">
        <v>45861</v>
      </c>
      <c r="C29" s="1" t="n"/>
      <c r="D29" t="inlineStr">
        <is>
          <t>eBay ComGFQHL2UZ - PAYMENTS NTE*ZZZ*P6996039500\ NJFYKGAQOAD5V69 21000026905761.00</t>
        </is>
      </c>
      <c r="F29" s="3" t="n">
        <v>2931.33</v>
      </c>
      <c r="G29" s="3" t="n">
        <v>0</v>
      </c>
    </row>
    <row r="30">
      <c r="B30" s="1" t="n">
        <v>46022</v>
      </c>
      <c r="C30" s="1" t="n"/>
      <c r="D30" t="inlineStr">
        <is>
          <t>eBay ComJGNV5A9L - PAYMENTS NTE*ZZZ*P7262738468\ ZOZPFQMC6KADF6G 21000021911872.00</t>
        </is>
      </c>
      <c r="F30" s="3" t="n">
        <v>3150.48</v>
      </c>
      <c r="G30" s="3" t="n">
        <v>0</v>
      </c>
    </row>
    <row r="31">
      <c r="B31" s="1" t="n">
        <v>45735</v>
      </c>
      <c r="C31" s="1" t="n"/>
      <c r="D31" t="inlineStr">
        <is>
          <t>eBay ComKZP2XR6P - PAYMENTS NTE*ZZZ*P6804269684\ CUIGRWXRYKR586K 21000029319610.00</t>
        </is>
      </c>
      <c r="F31" s="3" t="n">
        <v>3969.41</v>
      </c>
      <c r="G31" s="3" t="n">
        <v>0</v>
      </c>
    </row>
    <row r="32">
      <c r="B32" s="1" t="n">
        <v>45784</v>
      </c>
      <c r="C32" s="1" t="n"/>
      <c r="D32" t="inlineStr">
        <is>
          <t>eBay ComLHMLDTIT - PAYMENTS NTE*ZZZ*P6875674484\ DGZSRFXTQGKC06L 21000023569528.00</t>
        </is>
      </c>
      <c r="F32" s="3" t="n">
        <v>1795.92</v>
      </c>
      <c r="G32" s="3" t="n">
        <v>0</v>
      </c>
    </row>
    <row r="33">
      <c r="B33" s="1" t="n">
        <v>45693</v>
      </c>
      <c r="C33" s="1" t="n"/>
      <c r="D33" t="inlineStr">
        <is>
          <t>eBay ComMJVQCEBU - PAYMENTS NTE*ZZZ*P6745166588\ DBLAG4SOM5PZN6D 21000024912401.00</t>
        </is>
      </c>
      <c r="F33" s="3" t="n">
        <v>2106.38</v>
      </c>
      <c r="G33" s="3" t="n">
        <v>0</v>
      </c>
    </row>
    <row r="34">
      <c r="B34" s="1" t="n">
        <v>45679</v>
      </c>
      <c r="C34" s="1" t="n"/>
      <c r="D34" t="inlineStr">
        <is>
          <t>eBay ComN6FDYWJK - PAYMENTS NTE*ZZZ*P6725971508\ GBJHQ45R5GGUN6J 21000023190234.00</t>
        </is>
      </c>
      <c r="F34" s="3" t="n">
        <v>1556.33</v>
      </c>
      <c r="G34" s="3" t="n">
        <v>0</v>
      </c>
    </row>
    <row r="35">
      <c r="B35" s="1" t="n">
        <v>45728</v>
      </c>
      <c r="C35" s="1" t="n"/>
      <c r="D35" t="inlineStr">
        <is>
          <t>eBay ComNCU0EQZP - PAYMENTS NTE*ZZZ*P6794259548\ ZH4COWT96QZU6C 21000023805704.00</t>
        </is>
      </c>
      <c r="F35" s="3" t="n">
        <v>3413.22</v>
      </c>
      <c r="G35" s="3" t="n">
        <v>0</v>
      </c>
    </row>
    <row r="36">
      <c r="B36" s="1" t="n">
        <v>45805</v>
      </c>
      <c r="C36" s="1" t="n"/>
      <c r="D36" t="inlineStr">
        <is>
          <t>eBay ComNHAMCJHI - PAYMENTS NTE*ZZZ*P6906462956\ 2Z5POZ0QTNHLE67 21000020668994.00</t>
        </is>
      </c>
      <c r="F36" s="3" t="n">
        <v>4017.41</v>
      </c>
      <c r="G36" s="3" t="n">
        <v>0</v>
      </c>
    </row>
    <row r="37">
      <c r="B37" s="1" t="n">
        <v>45854</v>
      </c>
      <c r="C37" s="1" t="n"/>
      <c r="D37" t="inlineStr">
        <is>
          <t>eBay ComNYIQXADA - PAYMENTS NTE*ZZZ*P6984138356\ UEGORXITI2FU567 21000023105856.00</t>
        </is>
      </c>
      <c r="F37" s="3" t="n">
        <v>1939.33</v>
      </c>
      <c r="G37" s="3" t="n">
        <v>0</v>
      </c>
    </row>
    <row r="38">
      <c r="B38" s="1" t="n">
        <v>45756</v>
      </c>
      <c r="C38" s="1" t="n"/>
      <c r="D38" t="inlineStr">
        <is>
          <t>eBay ComOSWBSLCI - PAYMENTS NTE*ZZZ*P6835065500\ GYSYIRQ6E3WFR6H 21000024255799.00</t>
        </is>
      </c>
      <c r="F38" s="3" t="n">
        <v>5395.19</v>
      </c>
      <c r="G38" s="3" t="n">
        <v>0</v>
      </c>
    </row>
    <row r="39">
      <c r="B39" s="1" t="n">
        <v>45868</v>
      </c>
      <c r="C39" s="1" t="n"/>
      <c r="D39" t="inlineStr">
        <is>
          <t>eBay ComPPFCDLK0 - PAYMENTS NTE*ZZZ*P7007965748\ SKCIMXASI6KGK65 21000029708045.00</t>
        </is>
      </c>
      <c r="F39" s="3" t="n">
        <v>1803.32</v>
      </c>
      <c r="G39" s="3" t="n">
        <v>0</v>
      </c>
    </row>
    <row r="40">
      <c r="B40" s="1" t="n">
        <v>45763</v>
      </c>
      <c r="C40" s="1" t="n"/>
      <c r="D40" t="inlineStr">
        <is>
          <t>eBay ComQE5B83J0 - PAYMENTS NTE*ZZZ*P6845124332\ 3YUFIMVRFGQXS6C 21000023174289.00</t>
        </is>
      </c>
      <c r="F40" s="3" t="n">
        <v>3324.88</v>
      </c>
      <c r="G40" s="3" t="n">
        <v>0</v>
      </c>
    </row>
    <row r="41">
      <c r="B41" s="1" t="n">
        <v>45882</v>
      </c>
      <c r="C41" s="1" t="n"/>
      <c r="D41" t="inlineStr">
        <is>
          <t>eBay ComRECWJCM3 - PAYMENTS NTE*ZZZ*P7030491140\ SVTBJMPRRESBY6B 21000029359625.00</t>
        </is>
      </c>
      <c r="F41" s="3" t="n">
        <v>2810.98</v>
      </c>
      <c r="G41" s="3" t="n">
        <v>0</v>
      </c>
    </row>
    <row r="42">
      <c r="B42" s="1" t="n">
        <v>45903</v>
      </c>
      <c r="C42" s="1" t="n"/>
      <c r="D42" t="inlineStr">
        <is>
          <t>eBay ComS6ZEVGC3 - PAYMENTS NTE*ZZZ*P7065793004\ SPVKU9FQJWF1W65 21000021548294</t>
        </is>
      </c>
      <c r="F42" s="3" t="n">
        <v>3860.32</v>
      </c>
      <c r="G42" s="3" t="n">
        <v>0</v>
      </c>
    </row>
    <row r="43">
      <c r="B43" s="1" t="n">
        <v>45857</v>
      </c>
      <c r="C43" s="1" t="n"/>
      <c r="D43" t="inlineStr">
        <is>
          <t>eBay ComSBP7JJT5 - PAYMENTS NTE*ZZZ*P6988957292\ EERXRXTEE6OXW65 21000026643836.00</t>
        </is>
      </c>
      <c r="F43" s="3" t="n">
        <v>2103.37</v>
      </c>
      <c r="G43" s="3" t="n">
        <v>0</v>
      </c>
    </row>
    <row r="44">
      <c r="B44" s="1" t="n">
        <v>45994</v>
      </c>
      <c r="C44" s="1" t="n"/>
      <c r="D44" t="inlineStr">
        <is>
          <t>eBay ComTVZANJ5T - PAYMENTS NTE*ZZZ*P7214950076\ CAATOXISOMX5368 21000027278184.00</t>
        </is>
      </c>
      <c r="F44" s="3" t="n">
        <v>2970.54</v>
      </c>
      <c r="G44" s="3" t="n">
        <v>0</v>
      </c>
    </row>
    <row r="45">
      <c r="B45" s="1" t="n">
        <v>45721</v>
      </c>
      <c r="C45" s="1" t="n"/>
      <c r="D45" t="inlineStr">
        <is>
          <t>eBay ComU2JQXDVI - PAYMENTS NTE*ZZZ*P6784253324\ GVV34PJSRKIBF68 21000022251544.00</t>
        </is>
      </c>
      <c r="F45" s="3" t="n">
        <v>2327.98</v>
      </c>
      <c r="G45" s="3" t="n">
        <v>0</v>
      </c>
    </row>
    <row r="46">
      <c r="B46" s="1" t="n">
        <v>45707</v>
      </c>
      <c r="C46" s="1" t="n"/>
      <c r="D46" t="inlineStr">
        <is>
          <t>eBay ComUFFRCME5 - PAYMENTS NTE*ZZZ*P6764586020\ LJAMU9ISS8NXZ69 21000029127159.00</t>
        </is>
      </c>
      <c r="F46" s="3" t="n">
        <v>2006.63</v>
      </c>
      <c r="G46" s="3" t="n">
        <v>0</v>
      </c>
    </row>
    <row r="47">
      <c r="B47" s="1" t="n">
        <v>45777</v>
      </c>
      <c r="C47" s="1" t="n"/>
      <c r="D47" t="inlineStr">
        <is>
          <t>eBay ComUP1TXJOP - PAYMENTS NTE*ZZZ*P6865626788\ F6V74PTBVNHVC6H 21000028579500.00</t>
        </is>
      </c>
      <c r="F47" s="3" t="n">
        <v>3564.99</v>
      </c>
      <c r="G47" s="3" t="n">
        <v>0</v>
      </c>
    </row>
    <row r="48">
      <c r="B48" s="1" t="n">
        <v>45924</v>
      </c>
      <c r="C48" s="1" t="n"/>
      <c r="D48" t="inlineStr">
        <is>
          <t>eBay ComUVHOCMK3 - PAYMENTS NTE*ZZZ*P7099699724\ VIZRPFLR2K4IE63 21000027074224</t>
        </is>
      </c>
      <c r="F48" s="3" t="n">
        <v>2530.81</v>
      </c>
      <c r="G48" s="3" t="n">
        <v>0</v>
      </c>
    </row>
    <row r="49">
      <c r="B49" s="1" t="n">
        <v>45714</v>
      </c>
      <c r="C49" s="1" t="n"/>
      <c r="D49" t="inlineStr">
        <is>
          <t>eBay ComVMG5Z9PD - PAYMENTS NTE*ZZZ*P6774377636\ FGJE5KQTAORHE62 21000020030562.00</t>
        </is>
      </c>
      <c r="F49" s="3" t="n">
        <v>3287.75</v>
      </c>
      <c r="G49" s="3" t="n">
        <v>0</v>
      </c>
    </row>
    <row r="50">
      <c r="B50" s="1" t="n">
        <v>45686</v>
      </c>
      <c r="C50" s="1" t="n"/>
      <c r="D50" t="inlineStr">
        <is>
          <t>eBay ComWDPQ6LFY - PAYMENTS NTE*ZZZ*P6735539876\ MNMF0JTACMFM66 21000029102973.00</t>
        </is>
      </c>
      <c r="F50" s="3" t="n">
        <v>3018.37</v>
      </c>
      <c r="G50" s="3" t="n">
        <v>0</v>
      </c>
    </row>
    <row r="51">
      <c r="B51" s="1" t="n">
        <v>45826</v>
      </c>
      <c r="C51" s="1" t="n"/>
      <c r="D51" t="inlineStr">
        <is>
          <t>eBay ComX2P2HDZU - PAYMENTS NTE*ZZZ*P6938368988\ OHNNVTZRSEI4K67 21000029065901.00</t>
        </is>
      </c>
      <c r="F51" s="3" t="n">
        <v>2462.87</v>
      </c>
      <c r="G51" s="3" t="n">
        <v>0</v>
      </c>
    </row>
    <row r="52">
      <c r="B52" s="1" t="n">
        <v>45959</v>
      </c>
      <c r="C52" s="1" t="n"/>
      <c r="D52" t="inlineStr">
        <is>
          <t>eBay ComXUJJIPK4 - PAYMENTS NTE*ZZZ*P7157365556\ 9PXDHSSLY2CGV65 21000027388511</t>
        </is>
      </c>
      <c r="F52" s="3" t="n">
        <v>2606.5</v>
      </c>
      <c r="G52" s="3" t="n">
        <v>0</v>
      </c>
    </row>
    <row r="53">
      <c r="B53" s="1" t="n">
        <v>45819</v>
      </c>
      <c r="C53" s="1" t="n"/>
      <c r="D53" t="inlineStr">
        <is>
          <t>eBay ComYGTRHKQG - PAYMENTS NTE*ZZZ*P6927869660\ MVRSSQQJARNGM6G 21000024743069.00</t>
        </is>
      </c>
      <c r="F53" s="3" t="n">
        <v>1744.14</v>
      </c>
      <c r="G53" s="3" t="n">
        <v>0</v>
      </c>
    </row>
    <row r="54">
      <c r="B54" s="1" t="n">
        <v>45840</v>
      </c>
      <c r="C54" s="1" t="n"/>
      <c r="D54" t="inlineStr">
        <is>
          <t>eBay ComYHWLNODM - PAYMENTS NTE*ZZZ*P6961451900\ CDZXZFRHSU47U69 21000026355064.00</t>
        </is>
      </c>
      <c r="F54" s="3" t="n">
        <v>2526.91</v>
      </c>
      <c r="G54" s="3" t="n">
        <v>0</v>
      </c>
    </row>
    <row r="55">
      <c r="B55" s="1" t="n">
        <v>45791</v>
      </c>
      <c r="C55" s="1" t="n"/>
      <c r="D55" t="inlineStr">
        <is>
          <t>eBay ComYIN49R67 - PAYMENTS NTE*ZZZ*P6886096652\ 3KTVIUQCGCI6S69 21000029469286.00</t>
        </is>
      </c>
      <c r="F55" s="3" t="n">
        <v>4050.15</v>
      </c>
      <c r="G55" s="3" t="n">
        <v>0</v>
      </c>
    </row>
    <row r="56">
      <c r="B56" s="1" t="n">
        <v>45875</v>
      </c>
      <c r="C56" s="1" t="n"/>
      <c r="D56" t="inlineStr">
        <is>
          <t>eBay ComYLIAXBMJ - PAYMENTS NTE*ZZZ*P7019094020\ 1WH54ONRSAJOP66 21000027195674.00</t>
        </is>
      </c>
      <c r="F56" s="3" t="n">
        <v>2701.01</v>
      </c>
      <c r="G56" s="3" t="n">
        <v>0</v>
      </c>
    </row>
    <row r="57">
      <c r="B57" s="1" t="n">
        <v>46022</v>
      </c>
      <c r="C57" s="1" t="n"/>
      <c r="D57" t="inlineStr">
        <is>
          <t>Annual Profit Sharing Extraordinary Dividend Acct: 10003733168.00</t>
        </is>
      </c>
      <c r="F57" s="3" t="n">
        <v>0.01</v>
      </c>
      <c r="G57" s="3" t="n">
        <v>0</v>
      </c>
    </row>
    <row r="58">
      <c r="B58" s="1" t="n">
        <v>45767</v>
      </c>
      <c r="C58" s="1" t="n"/>
      <c r="D58" t="inlineStr">
        <is>
          <t>Deposit Internet Transfer FROM: XXXX8804</t>
        </is>
      </c>
      <c r="F58" s="3" t="n">
        <v>1000</v>
      </c>
      <c r="G58" s="3" t="n">
        <v>0</v>
      </c>
    </row>
    <row r="59">
      <c r="B59" s="1" t="n">
        <v>45728</v>
      </c>
      <c r="C59" s="1" t="n"/>
      <c r="D59" t="inlineStr">
        <is>
          <t>Deposit Loan to business</t>
        </is>
      </c>
      <c r="F59" s="3" t="n">
        <v>10000</v>
      </c>
      <c r="G59" s="3" t="n">
        <v>0</v>
      </c>
    </row>
    <row r="60">
      <c r="B60" s="1" t="n">
        <v>45742</v>
      </c>
      <c r="C60" s="1" t="n"/>
      <c r="D60" t="inlineStr">
        <is>
          <t>Deposit Loan to business</t>
        </is>
      </c>
      <c r="F60" s="3" t="n">
        <v>10000</v>
      </c>
      <c r="G60" s="3" t="n">
        <v>0</v>
      </c>
    </row>
    <row r="61">
      <c r="B61" s="1" t="n">
        <v>45767</v>
      </c>
      <c r="C61" s="1" t="n"/>
      <c r="D61" t="inlineStr">
        <is>
          <t>Deposit Loan to business</t>
        </is>
      </c>
      <c r="F61" s="3" t="n">
        <v>7000</v>
      </c>
      <c r="G61" s="3" t="n">
        <v>0</v>
      </c>
    </row>
    <row r="62">
      <c r="B62" s="1" t="n">
        <v>45853</v>
      </c>
      <c r="C62" s="1" t="n"/>
      <c r="D62" t="inlineStr">
        <is>
          <t>Deposit Loan to business</t>
        </is>
      </c>
      <c r="F62" s="3" t="n">
        <v>7000</v>
      </c>
      <c r="G62" s="3" t="n">
        <v>0</v>
      </c>
    </row>
    <row r="63">
      <c r="B63" s="1" t="n">
        <v>45853</v>
      </c>
      <c r="C63" s="1" t="n"/>
      <c r="D63" t="inlineStr">
        <is>
          <t>Deposit Loan to business</t>
        </is>
      </c>
      <c r="F63" s="3" t="n">
        <v>6000</v>
      </c>
      <c r="G63" s="3" t="n">
        <v>0</v>
      </c>
    </row>
    <row r="64">
      <c r="B64" s="1" t="n">
        <v>45687</v>
      </c>
      <c r="C64" s="1" t="n"/>
      <c r="D64" t="inlineStr">
        <is>
          <t>Deposit Loan to business</t>
        </is>
      </c>
      <c r="F64" s="3" t="n">
        <v>4000</v>
      </c>
      <c r="G64" s="3" t="n">
        <v>0</v>
      </c>
    </row>
    <row r="65">
      <c r="B65" s="1" t="n">
        <v>45804</v>
      </c>
      <c r="C65" s="1" t="n"/>
      <c r="D65" t="inlineStr">
        <is>
          <t>Deposit Loan to business</t>
        </is>
      </c>
      <c r="F65" s="3" t="n">
        <v>2000</v>
      </c>
      <c r="G65" s="3" t="n">
        <v>0</v>
      </c>
    </row>
    <row r="66">
      <c r="B66" s="1" t="n">
        <v>45784</v>
      </c>
      <c r="C66" s="1" t="n"/>
      <c r="D66" t="inlineStr">
        <is>
          <t>Deposit Purchase through PayPal</t>
        </is>
      </c>
      <c r="F66" s="3" t="n">
        <v>1400</v>
      </c>
      <c r="G66" s="3" t="n">
        <v>0</v>
      </c>
    </row>
    <row r="67">
      <c r="B67" s="1" t="n">
        <v>46022</v>
      </c>
      <c r="C67" s="1" t="n"/>
      <c r="D67" t="inlineStr">
        <is>
          <t>Descriptive Deposit Annual Profit Sharing-Business Account</t>
        </is>
      </c>
      <c r="F67" s="3" t="n">
        <v>90</v>
      </c>
      <c r="G67" s="3" t="n">
        <v>0</v>
      </c>
    </row>
    <row r="68">
      <c r="B68" s="1" t="n">
        <v>45824</v>
      </c>
      <c r="C68" s="1" t="n"/>
      <c r="D68" t="inlineStr">
        <is>
          <t>Domestic Wire Deposit WIRE RETURNED FROM WF EXC RTN TO SNDR 721 WIP</t>
        </is>
      </c>
      <c r="F68" s="3" t="n">
        <v>391</v>
      </c>
      <c r="G68" s="3" t="n">
        <v>0</v>
      </c>
    </row>
    <row r="69">
      <c r="B69" s="1" t="n">
        <v>45808</v>
      </c>
      <c r="C69" s="1" t="n"/>
      <c r="D69" t="inlineStr">
        <is>
          <t>NOW Deposit Zelle CARLOS JIMENEZ 800-231-1626 515100.00</t>
        </is>
      </c>
      <c r="F69" s="3" t="n">
        <v>110</v>
      </c>
      <c r="G69" s="3" t="n">
        <v>0</v>
      </c>
    </row>
    <row r="72">
      <c r="B72" s="1" t="n">
        <v>45736</v>
      </c>
      <c r="C72" s="1" t="n"/>
      <c r="D72" t="inlineStr">
        <is>
          <t>117</t>
        </is>
      </c>
      <c r="E72" t="n">
        <v>117</v>
      </c>
      <c r="F72" s="3" t="n">
        <v>0</v>
      </c>
      <c r="G72" s="3" t="n">
        <v>-3150</v>
      </c>
    </row>
    <row r="73">
      <c r="B73" s="1" t="n">
        <v>45775</v>
      </c>
      <c r="C73" s="1" t="n"/>
      <c r="D73" t="inlineStr">
        <is>
          <t>118</t>
        </is>
      </c>
      <c r="E73" t="n">
        <v>118</v>
      </c>
      <c r="F73" s="3" t="n">
        <v>0</v>
      </c>
      <c r="G73" s="3" t="n">
        <v>-800</v>
      </c>
    </row>
    <row r="74">
      <c r="B74" s="1" t="n">
        <v>45817</v>
      </c>
      <c r="C74" s="1" t="n"/>
      <c r="D74" t="n">
        <v>119</v>
      </c>
      <c r="E74" t="n">
        <v>119</v>
      </c>
      <c r="F74" s="3" t="n">
        <v>0</v>
      </c>
      <c r="G74" s="3" t="n">
        <v>-345</v>
      </c>
    </row>
    <row r="75">
      <c r="B75" s="1" t="n">
        <v>45820</v>
      </c>
      <c r="C75" s="1" t="n"/>
      <c r="D75" t="n">
        <v>120</v>
      </c>
      <c r="E75" t="n">
        <v>120</v>
      </c>
      <c r="F75" s="3" t="n">
        <v>0</v>
      </c>
      <c r="G75" s="3" t="n">
        <v>-2040.24</v>
      </c>
    </row>
    <row r="76">
      <c r="B76" s="1" t="n">
        <v>45904</v>
      </c>
      <c r="C76" s="1" t="n"/>
      <c r="D76" t="n">
        <v>121</v>
      </c>
      <c r="E76" t="n">
        <v>121</v>
      </c>
      <c r="F76" s="3" t="n">
        <v>0</v>
      </c>
      <c r="G76" s="3" t="n">
        <v>-106.25</v>
      </c>
    </row>
    <row r="77">
      <c r="B77" s="1" t="n">
        <v>45958</v>
      </c>
      <c r="C77" s="1" t="n"/>
      <c r="D77" t="n">
        <v>122</v>
      </c>
      <c r="E77" t="n">
        <v>122</v>
      </c>
      <c r="F77" s="3" t="n">
        <v>0</v>
      </c>
      <c r="G77" s="3" t="n">
        <v>-27.72</v>
      </c>
    </row>
    <row r="78">
      <c r="B78" s="1" t="n"/>
      <c r="C78" s="1" t="n"/>
    </row>
    <row r="79">
      <c r="B79" s="1" t="n">
        <v>45931</v>
      </c>
      <c r="C79" s="1" t="n"/>
      <c r="D79" t="inlineStr">
        <is>
          <t>AMAZON CORP - SYF PAYMNT 42202680492199</t>
        </is>
      </c>
      <c r="F79" s="3" t="n">
        <v>0</v>
      </c>
      <c r="G79" s="3" t="n">
        <v>-408.74</v>
      </c>
    </row>
    <row r="80">
      <c r="B80" s="1" t="n">
        <v>45762</v>
      </c>
      <c r="C80" s="1" t="n"/>
      <c r="D80" t="inlineStr">
        <is>
          <t>AMAZON CORP - SYF PAYMNT 42202680628292.00</t>
        </is>
      </c>
      <c r="F80" s="3" t="n">
        <v>0</v>
      </c>
      <c r="G80" s="3" t="n">
        <v>-1370.46</v>
      </c>
    </row>
    <row r="81">
      <c r="B81" s="1" t="n">
        <v>45828</v>
      </c>
      <c r="C81" s="1" t="n"/>
      <c r="D81" t="inlineStr">
        <is>
          <t>AMAZON CORP - SYF PAYMNT 42202681051680.00</t>
        </is>
      </c>
      <c r="F81" s="3" t="n">
        <v>0</v>
      </c>
      <c r="G81" s="3" t="n">
        <v>-1624.63</v>
      </c>
    </row>
    <row r="82">
      <c r="B82" s="1" t="n">
        <v>45726</v>
      </c>
      <c r="C82" s="1" t="n"/>
      <c r="D82" t="inlineStr">
        <is>
          <t>AMAZON CORP - SYF PAYMNT 42202681940022.00</t>
        </is>
      </c>
      <c r="F82" s="3" t="n">
        <v>0</v>
      </c>
      <c r="G82" s="3" t="n">
        <v>-428.64</v>
      </c>
    </row>
    <row r="83">
      <c r="B83" s="1" t="n">
        <v>45859</v>
      </c>
      <c r="C83" s="1" t="n"/>
      <c r="D83" t="inlineStr">
        <is>
          <t>AMAZON CORP - SYF PAYMNT 42202681950612.00</t>
        </is>
      </c>
      <c r="F83" s="3" t="n">
        <v>0</v>
      </c>
      <c r="G83" s="3" t="n">
        <v>-858.23</v>
      </c>
    </row>
    <row r="84">
      <c r="B84" s="1" t="n">
        <v>45706</v>
      </c>
      <c r="C84" s="1" t="n"/>
      <c r="D84" t="inlineStr">
        <is>
          <t>AMAZON CORP - SYF PAYMNT 42202683050524.00</t>
        </is>
      </c>
      <c r="F84" s="3" t="n">
        <v>0</v>
      </c>
      <c r="G84" s="3" t="n">
        <v>-418.7</v>
      </c>
    </row>
    <row r="85">
      <c r="B85" s="1" t="n">
        <v>45786</v>
      </c>
      <c r="C85" s="1" t="n"/>
      <c r="D85" t="inlineStr">
        <is>
          <t>AMAZON CORP - SYF PAYMNT 42202684155487.00</t>
        </is>
      </c>
      <c r="F85" s="3" t="n">
        <v>0</v>
      </c>
      <c r="G85" s="3" t="n">
        <v>-1097.17</v>
      </c>
    </row>
    <row r="86">
      <c r="B86" s="1" t="n">
        <v>45868</v>
      </c>
      <c r="C86" s="1" t="n"/>
      <c r="D86" t="inlineStr">
        <is>
          <t>AMAZON CORP - SYF PAYMNT 42202685546879.00</t>
        </is>
      </c>
      <c r="F86" s="3" t="n">
        <v>0</v>
      </c>
      <c r="G86" s="3" t="n">
        <v>-432.42</v>
      </c>
    </row>
    <row r="87">
      <c r="B87" s="1" t="n">
        <v>45672</v>
      </c>
      <c r="C87" s="1" t="n"/>
      <c r="D87" t="inlineStr">
        <is>
          <t>AMAZON CORP - SYF PAYMNT 42202686499675.00</t>
        </is>
      </c>
      <c r="F87" s="3" t="n">
        <v>0</v>
      </c>
      <c r="G87" s="3" t="n">
        <v>-1204.66</v>
      </c>
    </row>
    <row r="88">
      <c r="B88" s="1" t="n">
        <v>46006</v>
      </c>
      <c r="C88" s="1" t="n"/>
      <c r="D88" t="inlineStr">
        <is>
          <t>AMAZON CORP - SYF PAYMNT 42202687545117.00</t>
        </is>
      </c>
      <c r="F88" s="3" t="n">
        <v>0</v>
      </c>
      <c r="G88" s="3" t="n">
        <v>-1805.15</v>
      </c>
    </row>
    <row r="89">
      <c r="B89" s="1" t="n">
        <v>45905</v>
      </c>
      <c r="C89" s="1" t="n"/>
      <c r="D89" t="inlineStr">
        <is>
          <t>AMAZON FIREONLINEBILLPA - BILL PAYMT 51400500830465</t>
        </is>
      </c>
      <c r="F89" s="3" t="n">
        <v>0</v>
      </c>
      <c r="G89" s="3" t="n">
        <v>-322.74</v>
      </c>
    </row>
    <row r="90">
      <c r="B90" s="1" t="n">
        <v>45894</v>
      </c>
      <c r="C90" s="1" t="n"/>
      <c r="D90" t="inlineStr">
        <is>
          <t>AMAZON FIREONLINEBILLPA - BILL PAYMT 51400503433516.00</t>
        </is>
      </c>
      <c r="F90" s="3" t="n">
        <v>0</v>
      </c>
      <c r="G90" s="3" t="n">
        <v>-357.05</v>
      </c>
    </row>
    <row r="91">
      <c r="B91" s="1" t="n">
        <v>46006</v>
      </c>
      <c r="C91" s="1" t="n"/>
      <c r="D91" t="inlineStr">
        <is>
          <t>AMEX EPAYMENT ER AM - ACH PMT W0036 91000010603051</t>
        </is>
      </c>
      <c r="F91" s="3" t="n">
        <v>0</v>
      </c>
      <c r="G91" s="3" t="n">
        <v>-63.85</v>
      </c>
    </row>
    <row r="92">
      <c r="B92" s="1" t="n">
        <v>45726</v>
      </c>
      <c r="C92" s="1" t="n"/>
      <c r="D92" t="inlineStr">
        <is>
          <t>AMEX EPAYMENT ER AM - ACH PMT W0374 91000015894033</t>
        </is>
      </c>
      <c r="F92" s="3" t="n">
        <v>0</v>
      </c>
      <c r="G92" s="3" t="n">
        <v>-367.88</v>
      </c>
    </row>
    <row r="93">
      <c r="B93" s="1" t="n">
        <v>45817</v>
      </c>
      <c r="C93" s="1" t="n"/>
      <c r="D93" t="inlineStr">
        <is>
          <t>AMEX EPAYMENT ER AM - ACH PMT W1172 91000013227081</t>
        </is>
      </c>
      <c r="F93" s="3" t="n">
        <v>0</v>
      </c>
      <c r="G93" s="3" t="n">
        <v>-887.53</v>
      </c>
    </row>
    <row r="94">
      <c r="B94" s="1" t="n">
        <v>45867</v>
      </c>
      <c r="C94" s="1" t="n"/>
      <c r="D94" t="inlineStr">
        <is>
          <t>AMEX EPAYMENT ER AM - ACH PMT W2132 91000015323259</t>
        </is>
      </c>
      <c r="F94" s="3" t="n">
        <v>0</v>
      </c>
      <c r="G94" s="3" t="n">
        <v>-327.71</v>
      </c>
    </row>
    <row r="95">
      <c r="B95" s="1" t="n">
        <v>45994</v>
      </c>
      <c r="C95" s="1" t="n"/>
      <c r="D95" t="inlineStr">
        <is>
          <t>AMEX EPAYMENT ER AM - ACH PMT W3130 91000010347051</t>
        </is>
      </c>
      <c r="F95" s="3" t="n">
        <v>0</v>
      </c>
      <c r="G95" s="3" t="n">
        <v>-611.02</v>
      </c>
    </row>
    <row r="96">
      <c r="B96" s="1" t="n">
        <v>45671</v>
      </c>
      <c r="C96" s="1" t="n"/>
      <c r="D96" t="inlineStr">
        <is>
          <t>AMEX EPAYMENT ER AM - ACH PMT W3274 91000010753269</t>
        </is>
      </c>
      <c r="F96" s="3" t="n">
        <v>0</v>
      </c>
      <c r="G96" s="3" t="n">
        <v>-47.92</v>
      </c>
    </row>
    <row r="97">
      <c r="B97" s="1" t="n">
        <v>45930</v>
      </c>
      <c r="C97" s="1" t="n"/>
      <c r="D97" t="inlineStr">
        <is>
          <t>AMEX EPAYMENT ER AM - ACH PMT W3318 91000013400900</t>
        </is>
      </c>
      <c r="F97" s="3" t="n">
        <v>0</v>
      </c>
      <c r="G97" s="3" t="n">
        <v>-170.11</v>
      </c>
    </row>
    <row r="98">
      <c r="B98" s="1" t="n">
        <v>45946</v>
      </c>
      <c r="C98" s="1" t="n"/>
      <c r="D98" t="inlineStr">
        <is>
          <t>AMEX EPAYMENT ER AM - ACH PMT W3436 91000015801572</t>
        </is>
      </c>
      <c r="F98" s="3" t="n">
        <v>0</v>
      </c>
      <c r="G98" s="3" t="n">
        <v>-338.79</v>
      </c>
    </row>
    <row r="99">
      <c r="B99" s="1" t="n">
        <v>46021</v>
      </c>
      <c r="C99" s="1" t="n"/>
      <c r="D99" t="inlineStr">
        <is>
          <t>AMEX EPAYMENT ER AM - ACH PMT W4006 91000015526747</t>
        </is>
      </c>
      <c r="F99" s="3" t="n">
        <v>0</v>
      </c>
      <c r="G99" s="3" t="n">
        <v>-298.43</v>
      </c>
    </row>
    <row r="100">
      <c r="B100" s="1" t="n">
        <v>45852</v>
      </c>
      <c r="C100" s="1" t="n"/>
      <c r="D100" t="inlineStr">
        <is>
          <t>AMEX EPAYMENT ER AM - ACH PMT W4508 91000010640502</t>
        </is>
      </c>
      <c r="F100" s="3" t="n">
        <v>0</v>
      </c>
      <c r="G100" s="3" t="n">
        <v>-1482.53</v>
      </c>
    </row>
    <row r="101">
      <c r="B101" s="1" t="n">
        <v>45828</v>
      </c>
      <c r="C101" s="1" t="n"/>
      <c r="D101" t="inlineStr">
        <is>
          <t>AMEX EPAYMENT ER AM - ACH PMT W4956 91000019760207</t>
        </is>
      </c>
      <c r="F101" s="3" t="n">
        <v>0</v>
      </c>
      <c r="G101" s="3" t="n">
        <v>-363.98</v>
      </c>
    </row>
    <row r="102">
      <c r="B102" s="1" t="n">
        <v>45891</v>
      </c>
      <c r="C102" s="1" t="n"/>
      <c r="D102" t="inlineStr">
        <is>
          <t>AMEX EPAYMENT ER AM - ACH PMT W5002 91000010271657</t>
        </is>
      </c>
      <c r="F102" s="3" t="n">
        <v>0</v>
      </c>
      <c r="G102" s="3" t="n">
        <v>-461.15</v>
      </c>
    </row>
    <row r="103">
      <c r="B103" s="1" t="n">
        <v>45793</v>
      </c>
      <c r="C103" s="1" t="n"/>
      <c r="D103" t="inlineStr">
        <is>
          <t>AMEX EPAYMENT ER AM - ACH PMT W5710 91000011984440</t>
        </is>
      </c>
      <c r="F103" s="3" t="n">
        <v>0</v>
      </c>
      <c r="G103" s="3" t="n">
        <v>-185.47</v>
      </c>
    </row>
    <row r="104">
      <c r="B104" s="1" t="n">
        <v>45684</v>
      </c>
      <c r="C104" s="1" t="n"/>
      <c r="D104" t="inlineStr">
        <is>
          <t>AMEX EPAYMENT ER AM - ACH PMT W6946 91000016317592</t>
        </is>
      </c>
      <c r="F104" s="3" t="n">
        <v>0</v>
      </c>
      <c r="G104" s="3" t="n">
        <v>-1093.83</v>
      </c>
    </row>
    <row r="105">
      <c r="B105" s="1" t="n">
        <v>45706</v>
      </c>
      <c r="C105" s="1" t="n"/>
      <c r="D105" t="inlineStr">
        <is>
          <t>AMEX EPAYMENT ER AM - ACH PMT W7180 91000012660062</t>
        </is>
      </c>
      <c r="F105" s="3" t="n">
        <v>0</v>
      </c>
      <c r="G105" s="3" t="n">
        <v>-1537.41</v>
      </c>
    </row>
    <row r="106">
      <c r="B106" s="1" t="n">
        <v>45735</v>
      </c>
      <c r="C106" s="1" t="n"/>
      <c r="D106" t="inlineStr">
        <is>
          <t>AMEX EPAYMENT ER AM - ACH PMT W7386 91000014446568</t>
        </is>
      </c>
      <c r="F106" s="3" t="n">
        <v>0</v>
      </c>
      <c r="G106" s="3" t="n">
        <v>-149.81</v>
      </c>
    </row>
    <row r="107">
      <c r="B107" s="1" t="n">
        <v>45768</v>
      </c>
      <c r="C107" s="1" t="n"/>
      <c r="D107" t="inlineStr">
        <is>
          <t>AMEX EPAYMENT ER AM - ACH PMT W7926 91000011975969</t>
        </is>
      </c>
      <c r="F107" s="3" t="n">
        <v>0</v>
      </c>
      <c r="G107" s="3" t="n">
        <v>-3689.16</v>
      </c>
    </row>
    <row r="108">
      <c r="B108" s="1" t="n">
        <v>45904</v>
      </c>
      <c r="C108" s="1" t="n"/>
      <c r="D108" t="inlineStr">
        <is>
          <t>AMEX EPAYMENT ER AM - ACH PMT W8114 91000011155688</t>
        </is>
      </c>
      <c r="F108" s="3" t="n">
        <v>0</v>
      </c>
      <c r="G108" s="3" t="n">
        <v>-5.95</v>
      </c>
    </row>
    <row r="109">
      <c r="B109" s="1" t="n">
        <v>45785</v>
      </c>
      <c r="C109" s="1" t="n"/>
      <c r="D109" t="inlineStr">
        <is>
          <t>AMEX EPAYMENT ER AM - ACH PMT W8506 91000013890393</t>
        </is>
      </c>
      <c r="F109" s="3" t="n">
        <v>0</v>
      </c>
      <c r="G109" s="3" t="n">
        <v>-748.38</v>
      </c>
    </row>
    <row r="110">
      <c r="B110" s="1" t="n">
        <v>45903</v>
      </c>
      <c r="C110" s="1" t="n"/>
      <c r="D110" t="inlineStr">
        <is>
          <t>ATT - PAYMENT 31100201081932</t>
        </is>
      </c>
      <c r="F110" s="3" t="n">
        <v>0</v>
      </c>
      <c r="G110" s="3" t="n">
        <v>-174.98</v>
      </c>
    </row>
    <row r="111">
      <c r="B111" s="1" t="n">
        <v>45996</v>
      </c>
      <c r="C111" s="1" t="n"/>
      <c r="D111" t="inlineStr">
        <is>
          <t>ATT - PAYMENT 31100201315371.00</t>
        </is>
      </c>
      <c r="F111" s="3" t="n">
        <v>0</v>
      </c>
      <c r="G111" s="3" t="n">
        <v>-211.98</v>
      </c>
    </row>
    <row r="112">
      <c r="B112" s="1" t="n">
        <v>45936</v>
      </c>
      <c r="C112" s="1" t="n"/>
      <c r="D112" t="inlineStr">
        <is>
          <t>ATT - PAYMENT 31100204346667</t>
        </is>
      </c>
      <c r="F112" s="3" t="n">
        <v>0</v>
      </c>
      <c r="G112" s="3" t="n">
        <v>-174.98</v>
      </c>
    </row>
    <row r="113">
      <c r="B113" s="1" t="n">
        <v>45722</v>
      </c>
      <c r="C113" s="1" t="n"/>
      <c r="D113" t="inlineStr">
        <is>
          <t>ATT - Payment 31100204605100.00</t>
        </is>
      </c>
      <c r="F113" s="3" t="n">
        <v>0</v>
      </c>
      <c r="G113" s="3" t="n">
        <v>-176.08</v>
      </c>
    </row>
    <row r="114">
      <c r="B114" s="1" t="n">
        <v>45692</v>
      </c>
      <c r="C114" s="1" t="n"/>
      <c r="D114" t="inlineStr">
        <is>
          <t>ATT - Payment 31100204992988.00</t>
        </is>
      </c>
      <c r="F114" s="3" t="n">
        <v>0</v>
      </c>
      <c r="G114" s="3" t="n">
        <v>-179.07</v>
      </c>
    </row>
    <row r="115">
      <c r="B115" s="1" t="n">
        <v>45845</v>
      </c>
      <c r="C115" s="1" t="n"/>
      <c r="D115" t="inlineStr">
        <is>
          <t>ATT - PAYMENT 31100206387532.00</t>
        </is>
      </c>
      <c r="F115" s="3" t="n">
        <v>0</v>
      </c>
      <c r="G115" s="3" t="n">
        <v>-174.98</v>
      </c>
    </row>
    <row r="116">
      <c r="B116" s="1" t="n">
        <v>45660</v>
      </c>
      <c r="C116" s="1" t="n"/>
      <c r="D116" t="inlineStr">
        <is>
          <t>ATT - Payment 31100206744799.00</t>
        </is>
      </c>
      <c r="F116" s="3" t="n">
        <v>0</v>
      </c>
      <c r="G116" s="3" t="n">
        <v>-176.08</v>
      </c>
    </row>
    <row r="117">
      <c r="B117" s="1" t="n">
        <v>45783</v>
      </c>
      <c r="C117" s="1" t="n"/>
      <c r="D117" t="inlineStr">
        <is>
          <t>ATT - Payment 31100207329730.00</t>
        </is>
      </c>
      <c r="F117" s="3" t="n">
        <v>0</v>
      </c>
      <c r="G117" s="3" t="n">
        <v>-174.98</v>
      </c>
    </row>
    <row r="118">
      <c r="B118" s="1" t="n">
        <v>45750</v>
      </c>
      <c r="C118" s="1" t="n"/>
      <c r="D118" t="inlineStr">
        <is>
          <t>ATT - Payment 31100207988123.00</t>
        </is>
      </c>
      <c r="F118" s="3" t="n">
        <v>0</v>
      </c>
      <c r="G118" s="3" t="n">
        <v>-176.08</v>
      </c>
    </row>
    <row r="119">
      <c r="B119" s="1" t="n">
        <v>45873</v>
      </c>
      <c r="C119" s="1" t="n"/>
      <c r="D119" t="inlineStr">
        <is>
          <t>ATT - PAYMENT 31100208812708.00</t>
        </is>
      </c>
      <c r="F119" s="3" t="n">
        <v>0</v>
      </c>
      <c r="G119" s="3" t="n">
        <v>-177.97</v>
      </c>
    </row>
    <row r="120">
      <c r="B120" s="1" t="n">
        <v>45811</v>
      </c>
      <c r="C120" s="1" t="n"/>
      <c r="D120" t="inlineStr">
        <is>
          <t>ATT - Payment 31100209594707.00</t>
        </is>
      </c>
      <c r="F120" s="3" t="n">
        <v>0</v>
      </c>
      <c r="G120" s="3" t="n">
        <v>-177.97</v>
      </c>
    </row>
    <row r="121">
      <c r="B121" s="1" t="n">
        <v>45743</v>
      </c>
      <c r="C121" s="1" t="n"/>
      <c r="D121" t="inlineStr">
        <is>
          <t>BARCLAYCARD US - CREDITCARD 26002570367251.00</t>
        </is>
      </c>
      <c r="F121" s="3" t="n">
        <v>0</v>
      </c>
      <c r="G121" s="3" t="n">
        <v>-3000</v>
      </c>
    </row>
    <row r="122">
      <c r="B122" s="1" t="n">
        <v>45726</v>
      </c>
      <c r="C122" s="1" t="n"/>
      <c r="D122" t="inlineStr">
        <is>
          <t>BARCLAYCARD US - CREDITCARD 26002570449180.00</t>
        </is>
      </c>
      <c r="F122" s="3" t="n">
        <v>0</v>
      </c>
      <c r="G122" s="3" t="n">
        <v>-2100</v>
      </c>
    </row>
    <row r="123">
      <c r="B123" s="1" t="n">
        <v>45946</v>
      </c>
      <c r="C123" s="1" t="n"/>
      <c r="D123" t="inlineStr">
        <is>
          <t>BARCLAYCARD US - CREDITCARD 26002570644576</t>
        </is>
      </c>
      <c r="F123" s="3" t="n">
        <v>0</v>
      </c>
      <c r="G123" s="3" t="n">
        <v>-2468.92</v>
      </c>
    </row>
    <row r="124">
      <c r="B124" s="1" t="n">
        <v>46021</v>
      </c>
      <c r="C124" s="1" t="n"/>
      <c r="D124" t="inlineStr">
        <is>
          <t>BARCLAYCARD US - CREDITCARD 26002570682006.00</t>
        </is>
      </c>
      <c r="F124" s="3" t="n">
        <v>0</v>
      </c>
      <c r="G124" s="3" t="n">
        <v>-2000</v>
      </c>
    </row>
    <row r="125">
      <c r="B125" s="1" t="n">
        <v>45930</v>
      </c>
      <c r="C125" s="1" t="n"/>
      <c r="D125" t="inlineStr">
        <is>
          <t>BARCLAYCARD US - CREDITCARD 26002571349050</t>
        </is>
      </c>
      <c r="F125" s="3" t="n">
        <v>0</v>
      </c>
      <c r="G125" s="3" t="n">
        <v>-3194.12</v>
      </c>
    </row>
    <row r="126">
      <c r="B126" s="1" t="n">
        <v>45768</v>
      </c>
      <c r="C126" s="1" t="n"/>
      <c r="D126" t="inlineStr">
        <is>
          <t>BARCLAYCARD US - CREDITCARD 26002573163589.00</t>
        </is>
      </c>
      <c r="F126" s="3" t="n">
        <v>0</v>
      </c>
      <c r="G126" s="3" t="n">
        <v>-3000</v>
      </c>
    </row>
    <row r="127">
      <c r="B127" s="1" t="n">
        <v>45867</v>
      </c>
      <c r="C127" s="1" t="n"/>
      <c r="D127" t="inlineStr">
        <is>
          <t>BARCLAYCARD US - CREDITCARD 26002576753775.00</t>
        </is>
      </c>
      <c r="F127" s="3" t="n">
        <v>0</v>
      </c>
      <c r="G127" s="3" t="n">
        <v>-2000</v>
      </c>
    </row>
    <row r="128">
      <c r="B128" s="1" t="n">
        <v>45793</v>
      </c>
      <c r="C128" s="1" t="n"/>
      <c r="D128" t="inlineStr">
        <is>
          <t>BARCLAYCARD US - CREDITCARD 26002577555432.00</t>
        </is>
      </c>
      <c r="F128" s="3" t="n">
        <v>0</v>
      </c>
      <c r="G128" s="3" t="n">
        <v>-4000</v>
      </c>
    </row>
    <row r="129">
      <c r="B129" s="1" t="n">
        <v>45891</v>
      </c>
      <c r="C129" s="1" t="n"/>
      <c r="D129" t="inlineStr">
        <is>
          <t>BARCLAYCARD US - CREDITCARD 26002579013865.00</t>
        </is>
      </c>
      <c r="F129" s="3" t="n">
        <v>0</v>
      </c>
      <c r="G129" s="3" t="n">
        <v>-2500</v>
      </c>
    </row>
    <row r="130">
      <c r="B130" s="1" t="n">
        <v>45904</v>
      </c>
      <c r="C130" s="1" t="n"/>
      <c r="D130" t="inlineStr">
        <is>
          <t>BARCLAYCARD US - CREDITCARD 26002579459418</t>
        </is>
      </c>
      <c r="F130" s="3" t="n">
        <v>0</v>
      </c>
      <c r="G130" s="3" t="n">
        <v>-1863.13</v>
      </c>
    </row>
    <row r="131">
      <c r="B131" s="1" t="n">
        <v>45813</v>
      </c>
      <c r="C131" s="1" t="n"/>
      <c r="D131" t="inlineStr">
        <is>
          <t>BARCLAYCARD US - CREDITCARD 26002579572684.00</t>
        </is>
      </c>
      <c r="F131" s="3" t="n">
        <v>0</v>
      </c>
      <c r="G131" s="3" t="n">
        <v>-4000</v>
      </c>
    </row>
    <row r="132">
      <c r="B132" s="1" t="n">
        <v>45793</v>
      </c>
      <c r="C132" s="1" t="n"/>
      <c r="D132" t="inlineStr">
        <is>
          <t>CITI CARD ONLINE - PAYMENT 91409682245168.00</t>
        </is>
      </c>
      <c r="F132" s="3" t="n">
        <v>0</v>
      </c>
      <c r="G132" s="3" t="n">
        <v>-712.16</v>
      </c>
    </row>
    <row r="133">
      <c r="B133" s="1" t="n">
        <v>45930</v>
      </c>
      <c r="C133" s="1" t="n"/>
      <c r="D133" t="inlineStr">
        <is>
          <t>CITI CARD ONLINE - PAYMENT 91409682458012</t>
        </is>
      </c>
      <c r="F133" s="3" t="n">
        <v>0</v>
      </c>
      <c r="G133" s="3" t="n">
        <v>-588.5</v>
      </c>
    </row>
    <row r="134">
      <c r="B134" s="1" t="n">
        <v>45706</v>
      </c>
      <c r="C134" s="1" t="n"/>
      <c r="D134" t="inlineStr">
        <is>
          <t>CITI CARD ONLINE - PAYMENT 91409682459499.00</t>
        </is>
      </c>
      <c r="F134" s="3" t="n">
        <v>0</v>
      </c>
      <c r="G134" s="3" t="n">
        <v>-1653.18</v>
      </c>
    </row>
    <row r="135">
      <c r="B135" s="1" t="n">
        <v>45671</v>
      </c>
      <c r="C135" s="1" t="n"/>
      <c r="D135" t="inlineStr">
        <is>
          <t>CITI CARD ONLINE - PAYMENT 91409682579742.00</t>
        </is>
      </c>
      <c r="F135" s="3" t="n">
        <v>0</v>
      </c>
      <c r="G135" s="3" t="n">
        <v>-607.46</v>
      </c>
    </row>
    <row r="136">
      <c r="B136" s="1" t="n">
        <v>45891</v>
      </c>
      <c r="C136" s="1" t="n"/>
      <c r="D136" t="inlineStr">
        <is>
          <t>CITI CARD ONLINE - PAYMENT 91409683398239.00</t>
        </is>
      </c>
      <c r="F136" s="3" t="n">
        <v>0</v>
      </c>
      <c r="G136" s="3" t="n">
        <v>-1217.87</v>
      </c>
    </row>
    <row r="137">
      <c r="B137" s="1" t="n">
        <v>45994</v>
      </c>
      <c r="C137" s="1" t="n"/>
      <c r="D137" t="inlineStr">
        <is>
          <t>CITI CARD ONLINE - PAYMENT 91409683463256.00</t>
        </is>
      </c>
      <c r="F137" s="3" t="n">
        <v>0</v>
      </c>
      <c r="G137" s="3" t="n">
        <v>-1099.67</v>
      </c>
    </row>
    <row r="138">
      <c r="B138" s="1" t="n">
        <v>45946</v>
      </c>
      <c r="C138" s="1" t="n"/>
      <c r="D138" t="inlineStr">
        <is>
          <t>CITI CARD ONLINE - PAYMENT 91409683624764</t>
        </is>
      </c>
      <c r="F138" s="3" t="n">
        <v>0</v>
      </c>
      <c r="G138" s="3" t="n">
        <v>-1135.04</v>
      </c>
    </row>
    <row r="139">
      <c r="B139" s="1" t="n">
        <v>46006</v>
      </c>
      <c r="C139" s="1" t="n"/>
      <c r="D139" t="inlineStr">
        <is>
          <t>CITI CARD ONLINE - PAYMENT 91409684197022.00</t>
        </is>
      </c>
      <c r="F139" s="3" t="n">
        <v>0</v>
      </c>
      <c r="G139" s="3" t="n">
        <v>-505.73</v>
      </c>
    </row>
    <row r="140">
      <c r="B140" s="1" t="n">
        <v>45904</v>
      </c>
      <c r="C140" s="1" t="n"/>
      <c r="D140" t="inlineStr">
        <is>
          <t>CITI CARD ONLINE - PAYMENT 91409684333701</t>
        </is>
      </c>
      <c r="F140" s="3" t="n">
        <v>0</v>
      </c>
      <c r="G140" s="3" t="n">
        <v>-697.98</v>
      </c>
    </row>
    <row r="141">
      <c r="B141" s="1" t="n">
        <v>45735</v>
      </c>
      <c r="C141" s="1" t="n"/>
      <c r="D141" t="inlineStr">
        <is>
          <t>CITI CARD ONLINE - PAYMENT 91409684913488.00</t>
        </is>
      </c>
      <c r="F141" s="3" t="n">
        <v>0</v>
      </c>
      <c r="G141" s="3" t="n">
        <v>-354.61</v>
      </c>
    </row>
    <row r="142">
      <c r="B142" s="1" t="n">
        <v>45768</v>
      </c>
      <c r="C142" s="1" t="n"/>
      <c r="D142" t="inlineStr">
        <is>
          <t>CITI CARD ONLINE - PAYMENT 91409685172918.00</t>
        </is>
      </c>
      <c r="F142" s="3" t="n">
        <v>0</v>
      </c>
      <c r="G142" s="3" t="n">
        <v>-1475.87</v>
      </c>
    </row>
    <row r="143">
      <c r="B143" s="1" t="n">
        <v>45785</v>
      </c>
      <c r="C143" s="1" t="n"/>
      <c r="D143" t="inlineStr">
        <is>
          <t>CITI CARD ONLINE - PAYMENT 91409685297426.00</t>
        </is>
      </c>
      <c r="F143" s="3" t="n">
        <v>0</v>
      </c>
      <c r="G143" s="3" t="n">
        <v>-747.8099999999999</v>
      </c>
    </row>
    <row r="144">
      <c r="B144" s="1" t="n">
        <v>45726</v>
      </c>
      <c r="C144" s="1" t="n"/>
      <c r="D144" t="inlineStr">
        <is>
          <t>CITI CARD ONLINE - PAYMENT 91409685644041.00</t>
        </is>
      </c>
      <c r="F144" s="3" t="n">
        <v>0</v>
      </c>
      <c r="G144" s="3" t="n">
        <v>-1226.19</v>
      </c>
    </row>
    <row r="145">
      <c r="B145" s="1" t="n">
        <v>45852</v>
      </c>
      <c r="C145" s="1" t="n"/>
      <c r="D145" t="inlineStr">
        <is>
          <t>CITI CARD ONLINE - PAYMENT 91409685927689.00</t>
        </is>
      </c>
      <c r="F145" s="3" t="n">
        <v>0</v>
      </c>
      <c r="G145" s="3" t="n">
        <v>-1800.15</v>
      </c>
    </row>
    <row r="146">
      <c r="B146" s="1" t="n">
        <v>46021</v>
      </c>
      <c r="C146" s="1" t="n"/>
      <c r="D146" t="inlineStr">
        <is>
          <t>CITI CARD ONLINE - PAYMENT 91409686195349.00</t>
        </is>
      </c>
      <c r="F146" s="3" t="n">
        <v>0</v>
      </c>
      <c r="G146" s="3" t="n">
        <v>-1304.38</v>
      </c>
    </row>
    <row r="147">
      <c r="B147" s="1" t="n">
        <v>45867</v>
      </c>
      <c r="C147" s="1" t="n"/>
      <c r="D147" t="inlineStr">
        <is>
          <t>CITI CARD ONLINE - PAYMENT 91409687179830.00</t>
        </is>
      </c>
      <c r="F147" s="3" t="n">
        <v>0</v>
      </c>
      <c r="G147" s="3" t="n">
        <v>-1704.61</v>
      </c>
    </row>
    <row r="148">
      <c r="B148" s="1" t="n">
        <v>45680</v>
      </c>
      <c r="C148" s="1" t="n"/>
      <c r="D148" t="inlineStr">
        <is>
          <t>Domestic Wire Withdrawal WIRE OUT Gov Planet</t>
        </is>
      </c>
      <c r="F148" s="3" t="n">
        <v>0</v>
      </c>
      <c r="G148" s="3" t="n">
        <v>-465.75</v>
      </c>
    </row>
    <row r="149">
      <c r="B149" s="1" t="n">
        <v>45688</v>
      </c>
      <c r="C149" s="1" t="n"/>
      <c r="D149" t="inlineStr">
        <is>
          <t>Domestic Wire Withdrawal WIRE OUT Gov Planet</t>
        </is>
      </c>
      <c r="F149" s="3" t="n">
        <v>0</v>
      </c>
      <c r="G149" s="3" t="n">
        <v>-4893.25</v>
      </c>
    </row>
    <row r="150">
      <c r="B150" s="1" t="n">
        <v>45714</v>
      </c>
      <c r="C150" s="1" t="n"/>
      <c r="D150" t="inlineStr">
        <is>
          <t>Domestic Wire Withdrawal WIRE OUT Gov Planet</t>
        </is>
      </c>
      <c r="F150" s="3" t="n">
        <v>0</v>
      </c>
      <c r="G150" s="3" t="n">
        <v>-1265</v>
      </c>
    </row>
    <row r="151">
      <c r="B151" s="1" t="n">
        <v>45721</v>
      </c>
      <c r="C151" s="1" t="n"/>
      <c r="D151" t="inlineStr">
        <is>
          <t>Domestic Wire Withdrawal WIRE OUT Gov Planet</t>
        </is>
      </c>
      <c r="F151" s="3" t="n">
        <v>0</v>
      </c>
      <c r="G151" s="3" t="n">
        <v>-1552.5</v>
      </c>
    </row>
    <row r="152">
      <c r="B152" s="1" t="n">
        <v>45728</v>
      </c>
      <c r="C152" s="1" t="n"/>
      <c r="D152" t="inlineStr">
        <is>
          <t>Domestic Wire Withdrawal WIRE OUT Gov Planet</t>
        </is>
      </c>
      <c r="F152" s="3" t="n">
        <v>0</v>
      </c>
      <c r="G152" s="3" t="n">
        <v>-9623.190000000001</v>
      </c>
    </row>
    <row r="153">
      <c r="B153" s="1" t="n">
        <v>45735</v>
      </c>
      <c r="C153" s="1" t="n"/>
      <c r="D153" t="inlineStr">
        <is>
          <t>Domestic Wire Withdrawal WIRE OUT Gov Planet</t>
        </is>
      </c>
      <c r="F153" s="3" t="n">
        <v>0</v>
      </c>
      <c r="G153" s="3" t="n">
        <v>-1811.25</v>
      </c>
    </row>
    <row r="154">
      <c r="B154" s="1" t="n">
        <v>45743</v>
      </c>
      <c r="C154" s="1" t="n"/>
      <c r="D154" t="inlineStr">
        <is>
          <t>Domestic Wire Withdrawal WIRE OUT Gov Planet</t>
        </is>
      </c>
      <c r="F154" s="3" t="n">
        <v>0</v>
      </c>
      <c r="G154" s="3" t="n">
        <v>-10235</v>
      </c>
    </row>
    <row r="155">
      <c r="B155" s="1" t="n">
        <v>45750</v>
      </c>
      <c r="C155" s="1" t="n"/>
      <c r="D155" t="inlineStr">
        <is>
          <t>Domestic Wire Withdrawal WIRE OUT Gov Planet</t>
        </is>
      </c>
      <c r="F155" s="3" t="n">
        <v>0</v>
      </c>
      <c r="G155" s="3" t="n">
        <v>-3340.75</v>
      </c>
    </row>
    <row r="156">
      <c r="B156" s="1" t="n">
        <v>45757</v>
      </c>
      <c r="C156" s="1" t="n"/>
      <c r="D156" t="inlineStr">
        <is>
          <t>Domestic Wire Withdrawal WIRE OUT Gov Planet</t>
        </is>
      </c>
      <c r="F156" s="3" t="n">
        <v>0</v>
      </c>
      <c r="G156" s="3" t="n">
        <v>-2075.75</v>
      </c>
    </row>
    <row r="157">
      <c r="B157" s="1" t="n">
        <v>45763</v>
      </c>
      <c r="C157" s="1" t="n"/>
      <c r="D157" t="inlineStr">
        <is>
          <t>Domestic Wire Withdrawal WIRE OUT Gov Planet</t>
        </is>
      </c>
      <c r="F157" s="3" t="n">
        <v>0</v>
      </c>
      <c r="G157" s="3" t="n">
        <v>-2403.5</v>
      </c>
    </row>
    <row r="158">
      <c r="B158" s="1" t="n">
        <v>45805</v>
      </c>
      <c r="C158" s="1" t="n"/>
      <c r="D158" t="inlineStr">
        <is>
          <t>Domestic Wire Withdrawal WIRE OUT Gov Planet</t>
        </is>
      </c>
      <c r="F158" s="3" t="n">
        <v>0</v>
      </c>
      <c r="G158" s="3" t="n">
        <v>-5157.75</v>
      </c>
    </row>
    <row r="159">
      <c r="B159" s="1" t="n">
        <v>45824</v>
      </c>
      <c r="C159" s="1" t="n"/>
      <c r="D159" t="inlineStr">
        <is>
          <t>Domestic Wire Withdrawal WIRE OUT Gov Planet</t>
        </is>
      </c>
      <c r="F159" s="3" t="n">
        <v>0</v>
      </c>
      <c r="G159" s="3" t="n">
        <v>-391</v>
      </c>
    </row>
    <row r="160">
      <c r="B160" s="1" t="n">
        <v>45824</v>
      </c>
      <c r="C160" s="1" t="n"/>
      <c r="D160" t="inlineStr">
        <is>
          <t>Domestic Wire Withdrawal WIRE OUT Gov Planet</t>
        </is>
      </c>
      <c r="F160" s="3" t="n">
        <v>0</v>
      </c>
      <c r="G160" s="3" t="n">
        <v>-391</v>
      </c>
    </row>
    <row r="161">
      <c r="B161" s="1" t="n">
        <v>45828</v>
      </c>
      <c r="C161" s="1" t="n"/>
      <c r="D161" t="inlineStr">
        <is>
          <t>Domestic Wire Withdrawal WIRE OUT Gov Planet</t>
        </is>
      </c>
      <c r="F161" s="3" t="n">
        <v>0</v>
      </c>
      <c r="G161" s="3" t="n">
        <v>-626.75</v>
      </c>
    </row>
    <row r="162">
      <c r="B162" s="1" t="n">
        <v>45834</v>
      </c>
      <c r="C162" s="1" t="n"/>
      <c r="D162" t="inlineStr">
        <is>
          <t>Domestic Wire Withdrawal WIRE OUT Gov Planet</t>
        </is>
      </c>
      <c r="F162" s="3" t="n">
        <v>0</v>
      </c>
      <c r="G162" s="3" t="n">
        <v>-2093</v>
      </c>
    </row>
    <row r="163">
      <c r="B163" s="1" t="n">
        <v>45854</v>
      </c>
      <c r="C163" s="1" t="n"/>
      <c r="D163" t="inlineStr">
        <is>
          <t>Domestic Wire Withdrawal WIRE OUT Gov Planet</t>
        </is>
      </c>
      <c r="F163" s="3" t="n">
        <v>0</v>
      </c>
      <c r="G163" s="3" t="n">
        <v>-13202</v>
      </c>
    </row>
    <row r="164">
      <c r="B164" s="1" t="n">
        <v>45870</v>
      </c>
      <c r="C164" s="1" t="n"/>
      <c r="D164" t="inlineStr">
        <is>
          <t>Domestic Wire Withdrawal WIRE OUT Gov Planet</t>
        </is>
      </c>
      <c r="F164" s="3" t="n">
        <v>0</v>
      </c>
      <c r="G164" s="3" t="n">
        <v>-1679</v>
      </c>
    </row>
    <row r="165">
      <c r="B165" s="1" t="n">
        <v>45876</v>
      </c>
      <c r="C165" s="1" t="n"/>
      <c r="D165" t="inlineStr">
        <is>
          <t>Domestic Wire Withdrawal WIRE OUT Gov Planet</t>
        </is>
      </c>
      <c r="F165" s="3" t="n">
        <v>0</v>
      </c>
      <c r="G165" s="3" t="n">
        <v>-983.25</v>
      </c>
    </row>
    <row r="166">
      <c r="B166" s="1" t="n">
        <v>45883</v>
      </c>
      <c r="C166" s="1" t="n"/>
      <c r="D166" t="inlineStr">
        <is>
          <t>Domestic Wire Withdrawal WIRE OUT Gov Planet</t>
        </is>
      </c>
      <c r="F166" s="3" t="n">
        <v>0</v>
      </c>
      <c r="G166" s="3" t="n">
        <v>-667</v>
      </c>
    </row>
    <row r="167">
      <c r="B167" s="1" t="n">
        <v>45890</v>
      </c>
      <c r="C167" s="1" t="n"/>
      <c r="D167" t="inlineStr">
        <is>
          <t>Domestic Wire Withdrawal WIRE OUT Gov Planet</t>
        </is>
      </c>
      <c r="F167" s="3" t="n">
        <v>0</v>
      </c>
      <c r="G167" s="3" t="n">
        <v>-253</v>
      </c>
    </row>
    <row r="168">
      <c r="B168" s="1" t="n">
        <v>45932</v>
      </c>
      <c r="C168" s="1" t="n"/>
      <c r="D168" t="inlineStr">
        <is>
          <t>Domestic Wire Withdrawal WIRE OUT Gov Planet</t>
        </is>
      </c>
      <c r="F168" s="3" t="n">
        <v>0</v>
      </c>
      <c r="G168" s="3" t="n">
        <v>-264.5</v>
      </c>
    </row>
    <row r="169">
      <c r="B169" s="1" t="n">
        <v>45938</v>
      </c>
      <c r="C169" s="1" t="n"/>
      <c r="D169" t="inlineStr">
        <is>
          <t>Domestic Wire Withdrawal WIRE OUT Gov Planet</t>
        </is>
      </c>
      <c r="F169" s="3" t="n">
        <v>0</v>
      </c>
      <c r="G169" s="3" t="n">
        <v>-3064.75</v>
      </c>
    </row>
    <row r="170">
      <c r="B170" s="1" t="n">
        <v>45778</v>
      </c>
      <c r="C170" s="1" t="n"/>
      <c r="D170" t="inlineStr">
        <is>
          <t>Domestic Wire Withdrawal WIRE OUT GovPlanet</t>
        </is>
      </c>
      <c r="F170" s="3" t="n">
        <v>0</v>
      </c>
      <c r="G170" s="3" t="n">
        <v>-764.75</v>
      </c>
    </row>
    <row r="171">
      <c r="B171" s="1" t="n">
        <v>45995</v>
      </c>
      <c r="C171" s="1" t="n"/>
      <c r="D171" t="inlineStr">
        <is>
          <t>Domestic Wire Withdrawal WIRE OUT GovPlanet</t>
        </is>
      </c>
      <c r="F171" s="3" t="n">
        <v>0</v>
      </c>
      <c r="G171" s="3" t="n">
        <v>-1408.75</v>
      </c>
    </row>
    <row r="172">
      <c r="B172" s="1" t="n">
        <v>46001</v>
      </c>
      <c r="C172" s="1" t="n"/>
      <c r="D172" t="inlineStr">
        <is>
          <t>Domestic Wire Withdrawal WIRE OUT GovPlanet</t>
        </is>
      </c>
      <c r="F172" s="3" t="n">
        <v>0</v>
      </c>
      <c r="G172" s="3" t="n">
        <v>-126.5</v>
      </c>
    </row>
    <row r="173">
      <c r="B173" s="1" t="n">
        <v>45688</v>
      </c>
      <c r="C173" s="1" t="n"/>
      <c r="D173" t="inlineStr">
        <is>
          <t>Domestic Wire Wth Fee WIRE FEE</t>
        </is>
      </c>
      <c r="F173" s="3" t="n">
        <v>0</v>
      </c>
      <c r="G173" s="3" t="n">
        <v>-20</v>
      </c>
    </row>
    <row r="174">
      <c r="B174" s="1" t="n">
        <v>45728</v>
      </c>
      <c r="C174" s="1" t="n"/>
      <c r="D174" t="inlineStr">
        <is>
          <t>Domestic Wire Wth Fee WIRE FEE</t>
        </is>
      </c>
      <c r="F174" s="3" t="n">
        <v>0</v>
      </c>
      <c r="G174" s="3" t="n">
        <v>-20</v>
      </c>
    </row>
    <row r="175">
      <c r="B175" s="1" t="n">
        <v>45735</v>
      </c>
      <c r="C175" s="1" t="n"/>
      <c r="D175" t="inlineStr">
        <is>
          <t>Domestic Wire Wth Fee WIRE FEE</t>
        </is>
      </c>
      <c r="F175" s="3" t="n">
        <v>0</v>
      </c>
      <c r="G175" s="3" t="n">
        <v>-20</v>
      </c>
    </row>
    <row r="176">
      <c r="B176" s="1" t="n">
        <v>45743</v>
      </c>
      <c r="C176" s="1" t="n"/>
      <c r="D176" t="inlineStr">
        <is>
          <t>Domestic Wire Wth Fee WIRE FEE</t>
        </is>
      </c>
      <c r="F176" s="3" t="n">
        <v>0</v>
      </c>
      <c r="G176" s="3" t="n">
        <v>-20</v>
      </c>
    </row>
    <row r="177">
      <c r="B177" s="1" t="n">
        <v>45757</v>
      </c>
      <c r="C177" s="1" t="n"/>
      <c r="D177" t="inlineStr">
        <is>
          <t>Domestic Wire Wth Fee WIRE FEE</t>
        </is>
      </c>
      <c r="F177" s="3" t="n">
        <v>0</v>
      </c>
      <c r="G177" s="3" t="n">
        <v>-20</v>
      </c>
    </row>
    <row r="178">
      <c r="B178" s="1" t="n">
        <v>45763</v>
      </c>
      <c r="C178" s="1" t="n"/>
      <c r="D178" t="inlineStr">
        <is>
          <t>Domestic Wire Wth Fee WIRE FEE</t>
        </is>
      </c>
      <c r="F178" s="3" t="n">
        <v>0</v>
      </c>
      <c r="G178" s="3" t="n">
        <v>-20</v>
      </c>
    </row>
    <row r="179">
      <c r="B179" s="1" t="n">
        <v>45805</v>
      </c>
      <c r="C179" s="1" t="n"/>
      <c r="D179" t="inlineStr">
        <is>
          <t>Domestic Wire Wth Fee WIRE FEE</t>
        </is>
      </c>
      <c r="F179" s="3" t="n">
        <v>0</v>
      </c>
      <c r="G179" s="3" t="n">
        <v>-20</v>
      </c>
    </row>
    <row r="180">
      <c r="B180" s="1" t="n">
        <v>45824</v>
      </c>
      <c r="C180" s="1" t="n"/>
      <c r="D180" t="inlineStr">
        <is>
          <t>Domestic Wire Wth Fee WIRE FEE</t>
        </is>
      </c>
      <c r="F180" s="3" t="n">
        <v>0</v>
      </c>
      <c r="G180" s="3" t="n">
        <v>-20</v>
      </c>
    </row>
    <row r="181">
      <c r="B181" s="1" t="n">
        <v>45828</v>
      </c>
      <c r="C181" s="1" t="n"/>
      <c r="D181" t="inlineStr">
        <is>
          <t>Domestic Wire Wth Fee WIRE FEE</t>
        </is>
      </c>
      <c r="F181" s="3" t="n">
        <v>0</v>
      </c>
      <c r="G181" s="3" t="n">
        <v>-20</v>
      </c>
    </row>
    <row r="182">
      <c r="B182" s="1" t="n">
        <v>45834</v>
      </c>
      <c r="C182" s="1" t="n"/>
      <c r="D182" t="inlineStr">
        <is>
          <t>Domestic Wire Wth Fee WIRE FEE</t>
        </is>
      </c>
      <c r="F182" s="3" t="n">
        <v>0</v>
      </c>
      <c r="G182" s="3" t="n">
        <v>-20</v>
      </c>
    </row>
    <row r="183">
      <c r="B183" s="1" t="n">
        <v>45876</v>
      </c>
      <c r="C183" s="1" t="n"/>
      <c r="D183" t="inlineStr">
        <is>
          <t>Domestic Wire Wth Fee WIRE FEE</t>
        </is>
      </c>
      <c r="F183" s="3" t="n">
        <v>0</v>
      </c>
      <c r="G183" s="3" t="n">
        <v>-20</v>
      </c>
    </row>
    <row r="184">
      <c r="B184" s="1" t="n">
        <v>45883</v>
      </c>
      <c r="C184" s="1" t="n"/>
      <c r="D184" t="inlineStr">
        <is>
          <t>Domestic Wire Wth Fee WIRE FEE</t>
        </is>
      </c>
      <c r="F184" s="3" t="n">
        <v>0</v>
      </c>
      <c r="G184" s="3" t="n">
        <v>-20</v>
      </c>
    </row>
    <row r="185">
      <c r="B185" s="1" t="n">
        <v>45890</v>
      </c>
      <c r="C185" s="1" t="n"/>
      <c r="D185" t="inlineStr">
        <is>
          <t>Domestic Wire Wth Fee WIRE FEE</t>
        </is>
      </c>
      <c r="F185" s="3" t="n">
        <v>0</v>
      </c>
      <c r="G185" s="3" t="n">
        <v>-20</v>
      </c>
    </row>
    <row r="186">
      <c r="B186" s="1" t="n">
        <v>45938</v>
      </c>
      <c r="C186" s="1" t="n"/>
      <c r="D186" t="inlineStr">
        <is>
          <t>Domestic Wire Wth Fee WIRE FEE</t>
        </is>
      </c>
      <c r="F186" s="3" t="n">
        <v>0</v>
      </c>
      <c r="G186" s="3" t="n">
        <v>-20</v>
      </c>
    </row>
    <row r="187">
      <c r="B187" s="1" t="n">
        <v>46001</v>
      </c>
      <c r="C187" s="1" t="n"/>
      <c r="D187" t="inlineStr">
        <is>
          <t>Domestic Wire Wth Fee WIRE FEE</t>
        </is>
      </c>
      <c r="F187" s="3" t="n">
        <v>0</v>
      </c>
      <c r="G187" s="3" t="n">
        <v>-20</v>
      </c>
    </row>
    <row r="188">
      <c r="B188" s="1" t="n">
        <v>45924</v>
      </c>
      <c r="C188" s="1" t="n"/>
      <c r="D188" t="inlineStr">
        <is>
          <t>eBay ComRVX8PG9V - PAYMENTS 21000028017759</t>
        </is>
      </c>
      <c r="F188" s="3" t="n">
        <v>0</v>
      </c>
      <c r="G188" s="3" t="n">
        <v>-6.02</v>
      </c>
    </row>
    <row r="189">
      <c r="B189" s="1" t="n">
        <v>45924</v>
      </c>
      <c r="C189" s="1" t="n"/>
      <c r="D189" t="inlineStr">
        <is>
          <t>eBay ComRVX8PG9V - PAYMENTS 21000028017799</t>
        </is>
      </c>
      <c r="F189" s="3" t="n">
        <v>0</v>
      </c>
      <c r="G189" s="3" t="n">
        <v>-5.02</v>
      </c>
    </row>
    <row r="190">
      <c r="B190" s="1" t="n">
        <v>45924</v>
      </c>
      <c r="C190" s="1" t="n"/>
      <c r="D190" t="inlineStr">
        <is>
          <t>eBay ComUXQYO75G - PAYMENTS 21000028017489</t>
        </is>
      </c>
      <c r="F190" s="3" t="n">
        <v>0</v>
      </c>
      <c r="G190" s="3" t="n">
        <v>-20.79</v>
      </c>
    </row>
    <row r="191">
      <c r="B191" s="1" t="n">
        <v>45924</v>
      </c>
      <c r="C191" s="1" t="n"/>
      <c r="D191" t="inlineStr">
        <is>
          <t>eBay ComUXQYO75G - PAYMENTS 21000028017513</t>
        </is>
      </c>
      <c r="F191" s="3" t="n">
        <v>0</v>
      </c>
      <c r="G191" s="3" t="n">
        <v>-6.34</v>
      </c>
    </row>
    <row r="192">
      <c r="B192" s="1" t="n">
        <v>45924</v>
      </c>
      <c r="C192" s="1" t="n"/>
      <c r="D192" t="inlineStr">
        <is>
          <t>eBay ComUXQYO75G - PAYMENTS 21000028017536</t>
        </is>
      </c>
      <c r="F192" s="3" t="n">
        <v>0</v>
      </c>
      <c r="G192" s="3" t="n">
        <v>-12.73</v>
      </c>
    </row>
    <row r="193">
      <c r="B193" s="1" t="n">
        <v>45924</v>
      </c>
      <c r="C193" s="1" t="n"/>
      <c r="D193" t="inlineStr">
        <is>
          <t>eBay ComUXQYO75G - PAYMENTS 21000028017587</t>
        </is>
      </c>
      <c r="F193" s="3" t="n">
        <v>0</v>
      </c>
      <c r="G193" s="3" t="n">
        <v>-14.14</v>
      </c>
    </row>
    <row r="194">
      <c r="B194" s="1" t="n">
        <v>45924</v>
      </c>
      <c r="C194" s="1" t="n"/>
      <c r="D194" t="inlineStr">
        <is>
          <t>eBay ComUXQYO75G - PAYMENTS 21000028017676</t>
        </is>
      </c>
      <c r="F194" s="3" t="n">
        <v>0</v>
      </c>
      <c r="G194" s="3" t="n">
        <v>-9.31</v>
      </c>
    </row>
    <row r="195">
      <c r="B195" s="1" t="n">
        <v>45924</v>
      </c>
      <c r="C195" s="1" t="n"/>
      <c r="D195" t="inlineStr">
        <is>
          <t>eBay ComUXQYO75G - PAYMENTS 21000028017685</t>
        </is>
      </c>
      <c r="F195" s="3" t="n">
        <v>0</v>
      </c>
      <c r="G195" s="3" t="n">
        <v>-9.390000000000001</v>
      </c>
    </row>
    <row r="196">
      <c r="B196" s="1" t="n">
        <v>45924</v>
      </c>
      <c r="C196" s="1" t="n"/>
      <c r="D196" t="inlineStr">
        <is>
          <t>eBay ComWEJAQE1M - PAYMENTS 21000026403302</t>
        </is>
      </c>
      <c r="F196" s="3" t="n">
        <v>0</v>
      </c>
      <c r="G196" s="3" t="n">
        <v>-4.89</v>
      </c>
    </row>
    <row r="197">
      <c r="B197" s="1" t="n">
        <v>45924</v>
      </c>
      <c r="C197" s="1" t="n"/>
      <c r="D197" t="inlineStr">
        <is>
          <t>eBay ComWEJAQE1M - PAYMENTS 21000026403345</t>
        </is>
      </c>
      <c r="F197" s="3" t="n">
        <v>0</v>
      </c>
      <c r="G197" s="3" t="n">
        <v>-13.28</v>
      </c>
    </row>
    <row r="198">
      <c r="B198" s="1" t="n">
        <v>45800</v>
      </c>
      <c r="C198" s="1" t="n"/>
      <c r="D198" t="inlineStr">
        <is>
          <t>NOW Withdrawal Zelle Robert Rebar 800-231-1626 514300.00</t>
        </is>
      </c>
      <c r="F198" s="3" t="n">
        <v>0</v>
      </c>
      <c r="G198" s="3" t="n">
        <v>-15</v>
      </c>
    </row>
    <row r="199">
      <c r="B199" s="1" t="n">
        <v>45732</v>
      </c>
      <c r="C199" s="1" t="n"/>
      <c r="D199" t="inlineStr">
        <is>
          <t>NOW Withdrawal Zelle SBC Fire Station 800-231-1626 507500.00</t>
        </is>
      </c>
      <c r="F199" s="3" t="n">
        <v>0</v>
      </c>
      <c r="G199" s="3" t="n">
        <v>-10</v>
      </c>
    </row>
    <row r="200">
      <c r="B200" s="1" t="n">
        <v>45822</v>
      </c>
      <c r="C200" s="1" t="n"/>
      <c r="D200" t="inlineStr">
        <is>
          <t>NOW Withdrawal Zelle SBC Fire Station 800-231-1626 516500.00</t>
        </is>
      </c>
      <c r="F200" s="3" t="n">
        <v>0</v>
      </c>
      <c r="G200" s="3" t="n">
        <v>-10</v>
      </c>
    </row>
    <row r="201">
      <c r="B201" s="1" t="n">
        <v>45931</v>
      </c>
      <c r="C201" s="1" t="n"/>
      <c r="D201" t="inlineStr">
        <is>
          <t>SAN GABRIEL VALL FIREONLINEBILLPA - BILL PAYMT 51400500343724</t>
        </is>
      </c>
      <c r="F201" s="3" t="n">
        <v>0</v>
      </c>
      <c r="G201" s="3" t="n">
        <v>-77.12</v>
      </c>
    </row>
    <row r="202">
      <c r="B202" s="1" t="n">
        <v>45947</v>
      </c>
      <c r="C202" s="1" t="n"/>
      <c r="D202" t="inlineStr">
        <is>
          <t>SAN GABRIEL VALL FIREONLINEBILLPA - BILL PAYMT 51400500605436</t>
        </is>
      </c>
      <c r="F202" s="3" t="n">
        <v>0</v>
      </c>
      <c r="G202" s="3" t="n">
        <v>-55.16</v>
      </c>
    </row>
    <row r="203">
      <c r="B203" s="1" t="n">
        <v>45894</v>
      </c>
      <c r="C203" s="1" t="n"/>
      <c r="D203" t="inlineStr">
        <is>
          <t>SAN GABRIEL VALL FIREONLINEBILLPA - BILL PAYMT 51400503433515</t>
        </is>
      </c>
      <c r="F203" s="3" t="n">
        <v>0</v>
      </c>
      <c r="G203" s="3" t="n">
        <v>-174.89</v>
      </c>
    </row>
    <row r="204">
      <c r="B204" s="1" t="n">
        <v>45868</v>
      </c>
      <c r="C204" s="1" t="n"/>
      <c r="D204" t="inlineStr">
        <is>
          <t>SAN GABRIEL VALL FIREONLINEBILLPA - BILL PAYMT 51400503655733</t>
        </is>
      </c>
      <c r="F204" s="3" t="n">
        <v>0</v>
      </c>
      <c r="G204" s="3" t="n">
        <v>-5.44</v>
      </c>
    </row>
    <row r="205">
      <c r="B205" s="1" t="n">
        <v>45712</v>
      </c>
      <c r="C205" s="1" t="n"/>
      <c r="D205" t="inlineStr">
        <is>
          <t>SAN GABRIEL VALL FIREONLINEBILLPA - BILL PAYMT 51400505738529</t>
        </is>
      </c>
      <c r="F205" s="3" t="n">
        <v>0</v>
      </c>
      <c r="G205" s="3" t="n">
        <v>-80</v>
      </c>
    </row>
    <row r="206">
      <c r="B206" s="1" t="n">
        <v>46006</v>
      </c>
      <c r="C206" s="1" t="n"/>
      <c r="D206" t="inlineStr">
        <is>
          <t>SAN GABRIEL VALL FIREONLINEBILLPA - BILL PAYMT 51400506965760</t>
        </is>
      </c>
      <c r="F206" s="3" t="n">
        <v>0</v>
      </c>
      <c r="G206" s="3" t="n">
        <v>-77.12</v>
      </c>
    </row>
    <row r="207">
      <c r="B207" s="1" t="n">
        <v>45804</v>
      </c>
      <c r="C207" s="1" t="n"/>
      <c r="D207" t="inlineStr">
        <is>
          <t>SAN GABRIEL VALL FIREONLINEBILLPA - BILL PAYMT 51400507392683</t>
        </is>
      </c>
      <c r="F207" s="3" t="n">
        <v>0</v>
      </c>
      <c r="G207" s="3" t="n">
        <v>-95.17</v>
      </c>
    </row>
    <row r="208">
      <c r="B208" s="1" t="n">
        <v>45999</v>
      </c>
      <c r="C208" s="1" t="n"/>
      <c r="D208" t="inlineStr">
        <is>
          <t>SAN GABRIEL VALL FIREONLINEBILLPA - BILL PAYMT 51400507608065</t>
        </is>
      </c>
      <c r="F208" s="3" t="n">
        <v>0</v>
      </c>
      <c r="G208" s="3" t="n">
        <v>-77.12</v>
      </c>
    </row>
    <row r="209">
      <c r="B209" s="1" t="n">
        <v>45672</v>
      </c>
      <c r="C209" s="1" t="n"/>
      <c r="D209" t="inlineStr">
        <is>
          <t>SAN GABRIEL VALL FIREONLINEBILLPA - BILL PAYMT 51400508927361</t>
        </is>
      </c>
      <c r="F209" s="3" t="n">
        <v>0</v>
      </c>
      <c r="G209" s="3" t="n">
        <v>-87.7</v>
      </c>
    </row>
    <row r="210">
      <c r="B210" s="1" t="n">
        <v>45754</v>
      </c>
      <c r="C210" s="1" t="n"/>
      <c r="D210" t="inlineStr">
        <is>
          <t>SAN GABRIEL VALL FIREONLINEBILLPA - BILL PAYMT 51400509497717</t>
        </is>
      </c>
      <c r="F210" s="3" t="n">
        <v>0</v>
      </c>
      <c r="G210" s="3" t="n">
        <v>-85.51000000000001</v>
      </c>
    </row>
    <row r="211">
      <c r="B211" s="1" t="n">
        <v>45831</v>
      </c>
      <c r="C211" s="1" t="n"/>
      <c r="D211" t="inlineStr">
        <is>
          <t>SAN GABRIEL VALL FIREONLINEBILLPA - BILL PAYMT 51400509597931</t>
        </is>
      </c>
      <c r="F211" s="3" t="n">
        <v>0</v>
      </c>
      <c r="G211" s="3" t="n">
        <v>-81.03</v>
      </c>
    </row>
    <row r="212">
      <c r="B212" s="1" t="n">
        <v>45796</v>
      </c>
      <c r="C212" s="1" t="n"/>
      <c r="D212" t="inlineStr">
        <is>
          <t>SAN GABRIEL VALL FIREONLINEBILLPA - BILL PAYMT 51400509924411</t>
        </is>
      </c>
      <c r="F212" s="3" t="n">
        <v>0</v>
      </c>
      <c r="G212" s="3" t="n">
        <v>-92.06</v>
      </c>
    </row>
    <row r="213">
      <c r="B213" s="1" t="n">
        <v>45680</v>
      </c>
      <c r="C213" s="1" t="n"/>
      <c r="D213" t="inlineStr">
        <is>
          <t>SBA EIDL LOAN ACH TRANSACTION - PAYMENT 7903778404 41036041375598.00</t>
        </is>
      </c>
      <c r="F213" s="3" t="n">
        <v>0</v>
      </c>
      <c r="G213" s="3" t="n">
        <v>-169</v>
      </c>
    </row>
    <row r="214">
      <c r="B214" s="1" t="n">
        <v>45740</v>
      </c>
      <c r="C214" s="1" t="n"/>
      <c r="D214" t="inlineStr">
        <is>
          <t>SBA EIDL LOAN ACH TRANSACTION - PAYMENT 7903778404 41036042762290.00</t>
        </is>
      </c>
      <c r="F214" s="3" t="n">
        <v>0</v>
      </c>
      <c r="G214" s="3" t="n">
        <v>-169</v>
      </c>
    </row>
    <row r="215">
      <c r="B215" s="1" t="n">
        <v>45894</v>
      </c>
      <c r="C215" s="1" t="n"/>
      <c r="D215" t="inlineStr">
        <is>
          <t>SBA EIDL LOAN ACH TRANSACTION - PAYMENT 7903778404 41036043582923.00</t>
        </is>
      </c>
      <c r="F215" s="3" t="n">
        <v>0</v>
      </c>
      <c r="G215" s="3" t="n">
        <v>-169</v>
      </c>
    </row>
    <row r="216">
      <c r="B216" s="1" t="n">
        <v>45800</v>
      </c>
      <c r="C216" s="1" t="n"/>
      <c r="D216" t="inlineStr">
        <is>
          <t>SBA EIDL LOAN ACH TRANSACTION - PAYMENT 7903778404 41036045058195.00</t>
        </is>
      </c>
      <c r="F216" s="3" t="n">
        <v>0</v>
      </c>
      <c r="G216" s="3" t="n">
        <v>-169</v>
      </c>
    </row>
    <row r="217">
      <c r="B217" s="1" t="n">
        <v>45953</v>
      </c>
      <c r="C217" s="1" t="n"/>
      <c r="D217" t="inlineStr">
        <is>
          <t>SBA EIDL LOAN ACH TRANSACTION - PAYMENT 7903778404 41036046330964</t>
        </is>
      </c>
      <c r="F217" s="3" t="n">
        <v>0</v>
      </c>
      <c r="G217" s="3" t="n">
        <v>-169</v>
      </c>
    </row>
    <row r="218">
      <c r="B218" s="1" t="n">
        <v>45712</v>
      </c>
      <c r="C218" s="1" t="n"/>
      <c r="D218" t="inlineStr">
        <is>
          <t>SBA EIDL LOAN ACH TRANSACTION - PAYMENT 7903778404 41036046874792.00</t>
        </is>
      </c>
      <c r="F218" s="3" t="n">
        <v>0</v>
      </c>
      <c r="G218" s="3" t="n">
        <v>-169</v>
      </c>
    </row>
    <row r="219">
      <c r="B219" s="1" t="n">
        <v>45861</v>
      </c>
      <c r="C219" s="1" t="n"/>
      <c r="D219" t="inlineStr">
        <is>
          <t>SBA EIDL LOAN ACH TRANSACTION - PAYMENT 7903778404 41036046997474.00</t>
        </is>
      </c>
      <c r="F219" s="3" t="n">
        <v>0</v>
      </c>
      <c r="G219" s="3" t="n">
        <v>-169</v>
      </c>
    </row>
    <row r="220">
      <c r="B220" s="1" t="n">
        <v>45770</v>
      </c>
      <c r="C220" s="1" t="n"/>
      <c r="D220" t="inlineStr">
        <is>
          <t>SBA EIDL LOAN ACH TRANSACTION - PAYMENT 7903778404 41036048900269.00</t>
        </is>
      </c>
      <c r="F220" s="3" t="n">
        <v>0</v>
      </c>
      <c r="G220" s="3" t="n">
        <v>-169</v>
      </c>
    </row>
    <row r="221">
      <c r="B221" s="1" t="n">
        <v>45923</v>
      </c>
      <c r="C221" s="1" t="n"/>
      <c r="D221" t="inlineStr">
        <is>
          <t>SBA EIDL LOAN ACH TRANSACTION - PAYMENT 7903778404 41036049626534</t>
        </is>
      </c>
      <c r="F221" s="3" t="n">
        <v>0</v>
      </c>
      <c r="G221" s="3" t="n">
        <v>-169</v>
      </c>
    </row>
    <row r="222">
      <c r="B222" s="1" t="n">
        <v>46014</v>
      </c>
      <c r="C222" s="1" t="n"/>
      <c r="D222" t="inlineStr">
        <is>
          <t>SBA EIDL LOAN ACH TRANSACTION - PAYMENT 7903778404 41036049739590.00</t>
        </is>
      </c>
      <c r="F222" s="3" t="n">
        <v>0</v>
      </c>
      <c r="G222" s="3" t="n">
        <v>-169</v>
      </c>
    </row>
    <row r="223">
      <c r="B223" s="1" t="n">
        <v>45831</v>
      </c>
      <c r="C223" s="1" t="n"/>
      <c r="D223" t="inlineStr">
        <is>
          <t>SBA EIDL LOAN ACH TRANSACTION - PAYMENT 7903778404 41036049769051.00</t>
        </is>
      </c>
      <c r="F223" s="3" t="n">
        <v>0</v>
      </c>
      <c r="G223" s="3" t="n">
        <v>-169</v>
      </c>
    </row>
    <row r="224">
      <c r="B224" s="1" t="n">
        <v>45931</v>
      </c>
      <c r="C224" s="1" t="n"/>
      <c r="D224" t="inlineStr">
        <is>
          <t>SO CAL GAS COMPA FIREONLINEBILLPA - BILL PAYMT 51400500343722</t>
        </is>
      </c>
      <c r="F224" s="3" t="n">
        <v>0</v>
      </c>
      <c r="G224" s="3" t="n">
        <v>-37.45</v>
      </c>
    </row>
    <row r="225">
      <c r="B225" s="1" t="n">
        <v>45947</v>
      </c>
      <c r="C225" s="1" t="n"/>
      <c r="D225" t="inlineStr">
        <is>
          <t>SO CAL GAS COMPA FIREONLINEBILLPA - BILL PAYMT 51400500605435</t>
        </is>
      </c>
      <c r="F225" s="3" t="n">
        <v>0</v>
      </c>
      <c r="G225" s="3" t="n">
        <v>-19.71</v>
      </c>
    </row>
    <row r="226">
      <c r="B226" s="1" t="n">
        <v>45706</v>
      </c>
      <c r="C226" s="1" t="n"/>
      <c r="D226" t="inlineStr">
        <is>
          <t>SO CAL GAS COMPA FIREONLINEBILLPA - BILL PAYMT 51400502397278</t>
        </is>
      </c>
      <c r="F226" s="3" t="n">
        <v>0</v>
      </c>
      <c r="G226" s="3" t="n">
        <v>-101.4</v>
      </c>
    </row>
    <row r="227">
      <c r="B227" s="1" t="n">
        <v>45894</v>
      </c>
      <c r="C227" s="1" t="n"/>
      <c r="D227" t="inlineStr">
        <is>
          <t>SO CAL GAS COMPA FIREONLINEBILLPA - BILL PAYMT 51400503433514</t>
        </is>
      </c>
      <c r="F227" s="3" t="n">
        <v>0</v>
      </c>
      <c r="G227" s="3" t="n">
        <v>-41.85</v>
      </c>
    </row>
    <row r="228">
      <c r="B228" s="1" t="n">
        <v>45868</v>
      </c>
      <c r="C228" s="1" t="n"/>
      <c r="D228" t="inlineStr">
        <is>
          <t>SO CAL GAS COMPA FIREONLINEBILLPA - BILL PAYMT 51400503655732</t>
        </is>
      </c>
      <c r="F228" s="3" t="n">
        <v>0</v>
      </c>
      <c r="G228" s="3" t="n">
        <v>-38.78</v>
      </c>
    </row>
    <row r="229">
      <c r="B229" s="1" t="n">
        <v>46006</v>
      </c>
      <c r="C229" s="1" t="n"/>
      <c r="D229" t="inlineStr">
        <is>
          <t>SO CAL GAS COMPA FIREONLINEBILLPA - BILL PAYMT 51400506965759</t>
        </is>
      </c>
      <c r="F229" s="3" t="n">
        <v>0</v>
      </c>
      <c r="G229" s="3" t="n">
        <v>-64.58</v>
      </c>
    </row>
    <row r="230">
      <c r="B230" s="1" t="n">
        <v>45672</v>
      </c>
      <c r="C230" s="1" t="n"/>
      <c r="D230" t="inlineStr">
        <is>
          <t>SO CAL GAS COMPA FIREONLINEBILLPA - BILL PAYMT 51400508927360</t>
        </is>
      </c>
      <c r="F230" s="3" t="n">
        <v>0</v>
      </c>
      <c r="G230" s="3" t="n">
        <v>-81.42</v>
      </c>
    </row>
    <row r="231">
      <c r="B231" s="1" t="n">
        <v>45726</v>
      </c>
      <c r="C231" s="1" t="n"/>
      <c r="D231" t="inlineStr">
        <is>
          <t>SO CAL GAS COMPA FIREONLINEBILLPA - BILL PAYMT 51400509045375</t>
        </is>
      </c>
      <c r="F231" s="3" t="n">
        <v>0</v>
      </c>
      <c r="G231" s="3" t="n">
        <v>-101.4</v>
      </c>
    </row>
    <row r="232">
      <c r="B232" s="1" t="n">
        <v>45831</v>
      </c>
      <c r="C232" s="1" t="n"/>
      <c r="D232" t="inlineStr">
        <is>
          <t>SO CAL GAS COMPA FIREONLINEBILLPA - BILL PAYMT 51400509597928</t>
        </is>
      </c>
      <c r="F232" s="3" t="n">
        <v>0</v>
      </c>
      <c r="G232" s="3" t="n">
        <v>-33.75</v>
      </c>
    </row>
    <row r="233">
      <c r="B233" s="1" t="n">
        <v>45796</v>
      </c>
      <c r="C233" s="1" t="n"/>
      <c r="D233" t="inlineStr">
        <is>
          <t>SO CAL GAS COMPA FIREONLINEBILLPA - BILL PAYMT 51400509924408</t>
        </is>
      </c>
      <c r="F233" s="3" t="n">
        <v>0</v>
      </c>
      <c r="G233" s="3" t="n">
        <v>-15.94</v>
      </c>
    </row>
    <row r="234">
      <c r="B234" s="1" t="n">
        <v>45931</v>
      </c>
      <c r="C234" s="1" t="n"/>
      <c r="D234" t="inlineStr">
        <is>
          <t>SOUTHERN CALIFOR FIREONLINEBILLPA - BILL PAYMT 51400500343723</t>
        </is>
      </c>
      <c r="F234" s="3" t="n">
        <v>0</v>
      </c>
      <c r="G234" s="3" t="n">
        <v>-40.12</v>
      </c>
    </row>
    <row r="235">
      <c r="B235" s="1" t="n">
        <v>45852</v>
      </c>
      <c r="C235" s="1" t="n"/>
      <c r="D235" t="inlineStr">
        <is>
          <t>SOUTHERN CALIFOR FIREONLINEBILLPA - BILL PAYMT 51400502429352</t>
        </is>
      </c>
      <c r="F235" s="3" t="n">
        <v>0</v>
      </c>
      <c r="G235" s="3" t="n">
        <v>-45.23</v>
      </c>
    </row>
    <row r="236">
      <c r="B236" s="1" t="n">
        <v>45896</v>
      </c>
      <c r="C236" s="1" t="n"/>
      <c r="D236" t="inlineStr">
        <is>
          <t>SOUTHERN CALIFOR FIREONLINEBILLPA - BILL PAYMT 51400503617408</t>
        </is>
      </c>
      <c r="F236" s="3" t="n">
        <v>0</v>
      </c>
      <c r="G236" s="3" t="n">
        <v>-38.13</v>
      </c>
    </row>
    <row r="237">
      <c r="B237" s="1" t="n">
        <v>46020</v>
      </c>
      <c r="C237" s="1" t="n"/>
      <c r="D237" t="inlineStr">
        <is>
          <t>SOUTHERN CALIFOR FIREONLINEBILLPA - BILL PAYMT 51400504400327</t>
        </is>
      </c>
      <c r="F237" s="3" t="n">
        <v>0</v>
      </c>
      <c r="G237" s="3" t="n">
        <v>-100</v>
      </c>
    </row>
    <row r="238">
      <c r="B238" s="1" t="n">
        <v>45796</v>
      </c>
      <c r="C238" s="1" t="n"/>
      <c r="D238" t="inlineStr">
        <is>
          <t>SOUTHERN CALIFOR FIREONLINEBILLPA - BILL PAYMT 51400509924410</t>
        </is>
      </c>
      <c r="F238" s="3" t="n">
        <v>0</v>
      </c>
      <c r="G238" s="3" t="n">
        <v>-1092.67</v>
      </c>
    </row>
    <row r="239">
      <c r="B239" s="1" t="n">
        <v>45926</v>
      </c>
      <c r="C239" s="1" t="n"/>
      <c r="D239" t="inlineStr">
        <is>
          <t>SUNRUN INC - 8554786786 91000010004480</t>
        </is>
      </c>
      <c r="F239" s="3" t="n">
        <v>0</v>
      </c>
      <c r="G239" s="3" t="n">
        <v>-142.5</v>
      </c>
    </row>
    <row r="240">
      <c r="B240" s="1" t="n">
        <v>45957</v>
      </c>
      <c r="C240" s="1" t="n"/>
      <c r="D240" t="inlineStr">
        <is>
          <t>SUNRUN INC - 8554786786 91000010012216</t>
        </is>
      </c>
      <c r="F240" s="3" t="n">
        <v>0</v>
      </c>
      <c r="G240" s="3" t="n">
        <v>-142.5</v>
      </c>
    </row>
    <row r="241">
      <c r="B241" s="1" t="n">
        <v>45742</v>
      </c>
      <c r="C241" s="1" t="n"/>
      <c r="D241" t="inlineStr">
        <is>
          <t>SUNRUN INC - 8554786786.00 91000010003110</t>
        </is>
      </c>
      <c r="F241" s="3" t="n">
        <v>0</v>
      </c>
      <c r="G241" s="3" t="n">
        <v>-139.84</v>
      </c>
    </row>
    <row r="242">
      <c r="B242" s="1" t="n">
        <v>45714</v>
      </c>
      <c r="C242" s="1" t="n"/>
      <c r="D242" t="inlineStr">
        <is>
          <t>SUNRUN INC - 8554786786.00 91000010003283</t>
        </is>
      </c>
      <c r="F242" s="3" t="n">
        <v>0</v>
      </c>
      <c r="G242" s="3" t="n">
        <v>-139.84</v>
      </c>
    </row>
    <row r="243">
      <c r="B243" s="1" t="n">
        <v>45834</v>
      </c>
      <c r="C243" s="1" t="n"/>
      <c r="D243" t="inlineStr">
        <is>
          <t>SUNRUN INC - 8554786786.00 91000010004933</t>
        </is>
      </c>
      <c r="F243" s="3" t="n">
        <v>0</v>
      </c>
      <c r="G243" s="3" t="n">
        <v>-142.5</v>
      </c>
    </row>
    <row r="244">
      <c r="B244" s="1" t="n">
        <v>45895</v>
      </c>
      <c r="C244" s="1" t="n"/>
      <c r="D244" t="inlineStr">
        <is>
          <t>SUNRUN INC - 8554786786.00 91000010006927</t>
        </is>
      </c>
      <c r="F244" s="3" t="n">
        <v>0</v>
      </c>
      <c r="G244" s="3" t="n">
        <v>-142.5</v>
      </c>
    </row>
    <row r="245">
      <c r="B245" s="1" t="n">
        <v>45775</v>
      </c>
      <c r="C245" s="1" t="n"/>
      <c r="D245" t="inlineStr">
        <is>
          <t>SUNRUN INC - 8554786786.00 91000010007002</t>
        </is>
      </c>
      <c r="F245" s="3" t="n">
        <v>0</v>
      </c>
      <c r="G245" s="3" t="n">
        <v>-139.84</v>
      </c>
    </row>
    <row r="246">
      <c r="B246" s="1" t="n">
        <v>45866</v>
      </c>
      <c r="C246" s="1" t="n"/>
      <c r="D246" t="inlineStr">
        <is>
          <t>SUNRUN INC - 8554786786.00 91000010007519</t>
        </is>
      </c>
      <c r="F246" s="3" t="n">
        <v>0</v>
      </c>
      <c r="G246" s="3" t="n">
        <v>-142.5</v>
      </c>
    </row>
    <row r="247">
      <c r="B247" s="1" t="n">
        <v>46017</v>
      </c>
      <c r="C247" s="1" t="n"/>
      <c r="D247" t="inlineStr">
        <is>
          <t>SUNRUN INC - 8554786786.00 91000010009309</t>
        </is>
      </c>
      <c r="F247" s="3" t="n">
        <v>0</v>
      </c>
      <c r="G247" s="3" t="n">
        <v>-142.5</v>
      </c>
    </row>
    <row r="248">
      <c r="B248" s="1" t="n">
        <v>45684</v>
      </c>
      <c r="C248" s="1" t="n"/>
      <c r="D248" t="inlineStr">
        <is>
          <t>SUNRUN INC - 8554786786.00 91000010010842</t>
        </is>
      </c>
      <c r="F248" s="3" t="n">
        <v>0</v>
      </c>
      <c r="G248" s="3" t="n">
        <v>-139.84</v>
      </c>
    </row>
    <row r="249">
      <c r="B249" s="1" t="n">
        <v>45804</v>
      </c>
      <c r="C249" s="1" t="n"/>
      <c r="D249" t="inlineStr">
        <is>
          <t>SUNRUN INC - 8554786786.00 91000010013729</t>
        </is>
      </c>
      <c r="F249" s="3" t="n">
        <v>0</v>
      </c>
      <c r="G249" s="3" t="n">
        <v>-139.84</v>
      </c>
    </row>
    <row r="250">
      <c r="B250" s="1" t="n">
        <v>46022</v>
      </c>
      <c r="C250" s="1" t="n"/>
      <c r="D250" t="inlineStr">
        <is>
          <t>TIME WARNER CABL FIREONLINEBILLPA - BILL PAYMT 51400500755463</t>
        </is>
      </c>
      <c r="F250" s="3" t="n">
        <v>0</v>
      </c>
      <c r="G250" s="3" t="n">
        <v>-51.25</v>
      </c>
    </row>
    <row r="251">
      <c r="B251" s="1" t="n">
        <v>45881</v>
      </c>
      <c r="C251" s="1" t="n"/>
      <c r="D251" t="inlineStr">
        <is>
          <t>USAA P&amp;C ACH PAYMENTS - PAYMENT 21000020790504.00</t>
        </is>
      </c>
      <c r="F251" s="3" t="n">
        <v>0</v>
      </c>
      <c r="G251" s="3" t="n">
        <v>-269.27</v>
      </c>
    </row>
    <row r="252">
      <c r="B252" s="1" t="n">
        <v>45679</v>
      </c>
      <c r="C252" s="1" t="n"/>
      <c r="D252" t="inlineStr">
        <is>
          <t>USAA P&amp;C ACH PAYMENTS - PAYMENT 21000023838440.00</t>
        </is>
      </c>
      <c r="F252" s="3" t="n">
        <v>0</v>
      </c>
      <c r="G252" s="3" t="n">
        <v>-132.68</v>
      </c>
    </row>
    <row r="253">
      <c r="B253" s="1" t="n">
        <v>45663</v>
      </c>
      <c r="C253" s="1" t="n"/>
      <c r="D253" t="inlineStr">
        <is>
          <t>USAA P&amp;C ACH PAYMENTS - PAYMENT 21000024627240.00</t>
        </is>
      </c>
      <c r="F253" s="3" t="n">
        <v>0</v>
      </c>
      <c r="G253" s="3" t="n">
        <v>-147.68</v>
      </c>
    </row>
    <row r="254">
      <c r="B254" s="1" t="n">
        <v>45761</v>
      </c>
      <c r="C254" s="1" t="n"/>
      <c r="D254" t="inlineStr">
        <is>
          <t>USAA P&amp;C ACH PAYMENTS - PAYMENT 21000024897601.00</t>
        </is>
      </c>
      <c r="F254" s="3" t="n">
        <v>0</v>
      </c>
      <c r="G254" s="3" t="n">
        <v>-15</v>
      </c>
    </row>
    <row r="255">
      <c r="B255" s="1" t="n">
        <v>45820</v>
      </c>
      <c r="C255" s="1" t="n"/>
      <c r="D255" t="inlineStr">
        <is>
          <t>USAA P&amp;C ACH PAYMENTS - PAYMENT 21000025928928.00</t>
        </is>
      </c>
      <c r="F255" s="3" t="n">
        <v>0</v>
      </c>
      <c r="G255" s="3" t="n">
        <v>-270.15</v>
      </c>
    </row>
    <row r="256">
      <c r="B256" s="1" t="n">
        <v>45849</v>
      </c>
      <c r="C256" s="1" t="n"/>
      <c r="D256" t="inlineStr">
        <is>
          <t>USAA P&amp;C ACH PAYMENTS - PAYMENT 21000026320883.00</t>
        </is>
      </c>
      <c r="F256" s="3" t="n">
        <v>0</v>
      </c>
      <c r="G256" s="3" t="n">
        <v>-269.27</v>
      </c>
    </row>
    <row r="257">
      <c r="B257" s="1" t="n">
        <v>46010</v>
      </c>
      <c r="C257" s="1" t="n"/>
      <c r="D257" t="inlineStr">
        <is>
          <t>USAA P&amp;C ACH PAYMENTS - PAYMENT 21000026927586.00</t>
        </is>
      </c>
      <c r="F257" s="3" t="n">
        <v>0</v>
      </c>
      <c r="G257" s="3" t="n">
        <v>-51.03</v>
      </c>
    </row>
    <row r="258">
      <c r="B258" s="1" t="n">
        <v>45918</v>
      </c>
      <c r="C258" s="1" t="n"/>
      <c r="D258" t="inlineStr">
        <is>
          <t>USAA P&amp;C ACH PAYMENTS - PAYMENT 21000029179980</t>
        </is>
      </c>
      <c r="F258" s="3" t="n">
        <v>0</v>
      </c>
      <c r="G258" s="3" t="n">
        <v>-807.8</v>
      </c>
    </row>
    <row r="259">
      <c r="B259" s="1" t="n">
        <v>45734</v>
      </c>
      <c r="C259" s="1" t="n"/>
      <c r="D259" t="inlineStr">
        <is>
          <t>USAA P&amp;C ACH PAYMENTS - PAYMENT 21000029874915.00</t>
        </is>
      </c>
      <c r="F259" s="3" t="n">
        <v>0</v>
      </c>
      <c r="G259" s="3" t="n">
        <v>-398.06</v>
      </c>
    </row>
    <row r="260">
      <c r="B260" s="1" t="n">
        <v>45777</v>
      </c>
      <c r="C260" s="1" t="n"/>
      <c r="D260" t="inlineStr">
        <is>
          <t>VERIZON WIRELESS - PAYMENTS 21000020303598.00</t>
        </is>
      </c>
      <c r="F260" s="3" t="n">
        <v>0</v>
      </c>
      <c r="G260" s="3" t="n">
        <v>-188.36</v>
      </c>
    </row>
    <row r="261">
      <c r="B261" s="1" t="n">
        <v>45838</v>
      </c>
      <c r="C261" s="1" t="n"/>
      <c r="D261" t="inlineStr">
        <is>
          <t>VERIZON WIRELESS - PAYMENTS 21000021011127.00</t>
        </is>
      </c>
      <c r="F261" s="3" t="n">
        <v>0</v>
      </c>
      <c r="G261" s="3" t="n">
        <v>-198.94</v>
      </c>
    </row>
    <row r="262">
      <c r="B262" s="1" t="n">
        <v>45687</v>
      </c>
      <c r="C262" s="1" t="n"/>
      <c r="D262" t="inlineStr">
        <is>
          <t>VERIZON WIRELESS - PAYMENTS 21000021112632.00</t>
        </is>
      </c>
      <c r="F262" s="3" t="n">
        <v>0</v>
      </c>
      <c r="G262" s="3" t="n">
        <v>-188.38</v>
      </c>
    </row>
    <row r="263">
      <c r="B263" s="1" t="n">
        <v>46021</v>
      </c>
      <c r="C263" s="1" t="n"/>
      <c r="D263" t="inlineStr">
        <is>
          <t>VERIZON WIRELESS - PAYMENTS 21000023187353.00</t>
        </is>
      </c>
      <c r="F263" s="3" t="n">
        <v>0</v>
      </c>
      <c r="G263" s="3" t="n">
        <v>-149.37</v>
      </c>
    </row>
    <row r="264">
      <c r="B264" s="1" t="n">
        <v>45902</v>
      </c>
      <c r="C264" s="1" t="n"/>
      <c r="D264" t="inlineStr">
        <is>
          <t>VERIZON WIRELESS - PAYMENTS 21000025535126</t>
        </is>
      </c>
      <c r="F264" s="3" t="n">
        <v>0</v>
      </c>
      <c r="G264" s="3" t="n">
        <v>-198.92</v>
      </c>
    </row>
    <row r="265">
      <c r="B265" s="1" t="n">
        <v>45930</v>
      </c>
      <c r="C265" s="1" t="n"/>
      <c r="D265" t="inlineStr">
        <is>
          <t>VERIZON WIRELESS - PAYMENTS 21000025712756</t>
        </is>
      </c>
      <c r="F265" s="3" t="n">
        <v>0</v>
      </c>
      <c r="G265" s="3" t="n">
        <v>-199.58</v>
      </c>
    </row>
    <row r="266">
      <c r="B266" s="1" t="n">
        <v>45720</v>
      </c>
      <c r="C266" s="1" t="n"/>
      <c r="D266" t="inlineStr">
        <is>
          <t>VERIZON WIRELESS - PAYMENTS 21000026025793.00</t>
        </is>
      </c>
      <c r="F266" s="3" t="n">
        <v>0</v>
      </c>
      <c r="G266" s="3" t="n">
        <v>-188.38</v>
      </c>
    </row>
    <row r="267">
      <c r="B267" s="1" t="n">
        <v>45807</v>
      </c>
      <c r="C267" s="1" t="n"/>
      <c r="D267" t="inlineStr">
        <is>
          <t>VERIZON WIRELESS - PAYMENTS 21000026431347.00</t>
        </is>
      </c>
      <c r="F267" s="3" t="n">
        <v>0</v>
      </c>
      <c r="G267" s="3" t="n">
        <v>-197.94</v>
      </c>
    </row>
    <row r="268">
      <c r="B268" s="1" t="n">
        <v>45992</v>
      </c>
      <c r="C268" s="1" t="n"/>
      <c r="D268" t="inlineStr">
        <is>
          <t>VERIZON WIRELESS - PAYMENTS 21000026967742.00</t>
        </is>
      </c>
      <c r="F268" s="3" t="n">
        <v>0</v>
      </c>
      <c r="G268" s="3" t="n">
        <v>-224.82</v>
      </c>
    </row>
    <row r="269">
      <c r="B269" s="1" t="n">
        <v>45747</v>
      </c>
      <c r="C269" s="1" t="n"/>
      <c r="D269" t="inlineStr">
        <is>
          <t>VERIZON WIRELESS - PAYMENTS 21000027676745.00</t>
        </is>
      </c>
      <c r="F269" s="3" t="n">
        <v>0</v>
      </c>
      <c r="G269" s="3" t="n">
        <v>-188.38</v>
      </c>
    </row>
    <row r="270">
      <c r="B270" s="1" t="n">
        <v>45960</v>
      </c>
      <c r="C270" s="1" t="n"/>
      <c r="D270" t="inlineStr">
        <is>
          <t>VERIZON WIRELESS - PAYMENTS 21000027943696</t>
        </is>
      </c>
      <c r="F270" s="3" t="n">
        <v>0</v>
      </c>
      <c r="G270" s="3" t="n">
        <v>-249.96</v>
      </c>
    </row>
    <row r="271">
      <c r="B271" s="1" t="n">
        <v>45868</v>
      </c>
      <c r="C271" s="1" t="n"/>
      <c r="D271" t="inlineStr">
        <is>
          <t>VERIZON WIRELESS - PAYMENTS 21000029398799.00</t>
        </is>
      </c>
      <c r="F271" s="3" t="n">
        <v>0</v>
      </c>
      <c r="G271" s="3" t="n">
        <v>-198.92</v>
      </c>
    </row>
    <row r="272">
      <c r="B272" s="1" t="n">
        <v>45670</v>
      </c>
      <c r="C272" s="1" t="n"/>
      <c r="D272" t="inlineStr">
        <is>
          <t>Withdrawal Internet Transfer TO : XXXX0414</t>
        </is>
      </c>
      <c r="F272" s="3" t="n">
        <v>0</v>
      </c>
      <c r="G272" s="3" t="n">
        <v>-700</v>
      </c>
    </row>
    <row r="273">
      <c r="B273" s="1" t="n">
        <v>45702</v>
      </c>
      <c r="C273" s="1" t="n"/>
      <c r="D273" t="inlineStr">
        <is>
          <t>Withdrawal Internet Transfer TO : XXXX0414</t>
        </is>
      </c>
      <c r="F273" s="3" t="n">
        <v>0</v>
      </c>
      <c r="G273" s="3" t="n">
        <v>-700</v>
      </c>
    </row>
    <row r="274">
      <c r="B274" s="1" t="n">
        <v>45734</v>
      </c>
      <c r="C274" s="1" t="n"/>
      <c r="D274" t="inlineStr">
        <is>
          <t>Withdrawal Internet Transfer TO : XXXX0414</t>
        </is>
      </c>
      <c r="F274" s="3" t="n">
        <v>0</v>
      </c>
      <c r="G274" s="3" t="n">
        <v>-700</v>
      </c>
    </row>
    <row r="275">
      <c r="B275" s="1" t="n">
        <v>45757</v>
      </c>
      <c r="C275" s="1" t="n"/>
      <c r="D275" t="inlineStr">
        <is>
          <t>Withdrawal Internet Transfer TO : XXXX0414</t>
        </is>
      </c>
      <c r="F275" s="3" t="n">
        <v>0</v>
      </c>
      <c r="G275" s="3" t="n">
        <v>-700</v>
      </c>
    </row>
    <row r="276">
      <c r="B276" s="1" t="n">
        <v>45784</v>
      </c>
      <c r="C276" s="1" t="n"/>
      <c r="D276" t="inlineStr">
        <is>
          <t>Withdrawal Internet Transfer TO : XXXX0414</t>
        </is>
      </c>
      <c r="F276" s="3" t="n">
        <v>0</v>
      </c>
      <c r="G276" s="3" t="n">
        <v>-700</v>
      </c>
    </row>
    <row r="277">
      <c r="B277" s="1" t="n">
        <v>45828</v>
      </c>
      <c r="C277" s="1" t="n"/>
      <c r="D277" t="inlineStr">
        <is>
          <t>Withdrawal Internet Transfer TO : XXXX0414</t>
        </is>
      </c>
      <c r="F277" s="3" t="n">
        <v>0</v>
      </c>
      <c r="G277" s="3" t="n">
        <v>-700</v>
      </c>
    </row>
    <row r="278">
      <c r="B278" s="1" t="n">
        <v>45858</v>
      </c>
      <c r="C278" s="1" t="n"/>
      <c r="D278" t="inlineStr">
        <is>
          <t>Withdrawal Internet Transfer TO : XXXX0414</t>
        </is>
      </c>
      <c r="F278" s="3" t="n">
        <v>0</v>
      </c>
      <c r="G278" s="3" t="n">
        <v>-700</v>
      </c>
    </row>
    <row r="279">
      <c r="B279" s="1" t="n">
        <v>45887</v>
      </c>
      <c r="C279" s="1" t="n"/>
      <c r="D279" t="inlineStr">
        <is>
          <t>Withdrawal Internet Transfer TO : XXXX0414</t>
        </is>
      </c>
      <c r="F279" s="3" t="n">
        <v>0</v>
      </c>
      <c r="G279" s="3" t="n">
        <v>-700</v>
      </c>
    </row>
    <row r="280">
      <c r="B280" s="1" t="n">
        <v>45897</v>
      </c>
      <c r="C280" s="1" t="n"/>
      <c r="D280" t="inlineStr">
        <is>
          <t>Withdrawal Internet Transfer TO : XXXX0414</t>
        </is>
      </c>
      <c r="F280" s="3" t="n">
        <v>0</v>
      </c>
      <c r="G280" s="3" t="n">
        <v>-700</v>
      </c>
    </row>
    <row r="281">
      <c r="B281" s="1" t="n">
        <v>45931</v>
      </c>
      <c r="C281" s="1" t="n"/>
      <c r="D281" t="inlineStr">
        <is>
          <t>Withdrawal Internet Transfer TO : XXXX0414</t>
        </is>
      </c>
      <c r="F281" s="3" t="n">
        <v>0</v>
      </c>
      <c r="G281" s="3" t="n">
        <v>-700</v>
      </c>
    </row>
    <row r="282">
      <c r="B282" s="1" t="n">
        <v>45993</v>
      </c>
      <c r="C282" s="1" t="n"/>
      <c r="D282" t="inlineStr">
        <is>
          <t>Withdrawal Internet Transfer TO : XXXX0414</t>
        </is>
      </c>
      <c r="F282" s="3" t="n">
        <v>0</v>
      </c>
      <c r="G282" s="3" t="n">
        <v>-700</v>
      </c>
    </row>
    <row r="283">
      <c r="B283" s="1" t="n">
        <v>45682</v>
      </c>
      <c r="C283" s="1" t="n"/>
      <c r="D283" t="inlineStr">
        <is>
          <t>Withdrawal Internet Transfer TO : XXXX4354</t>
        </is>
      </c>
      <c r="F283" s="3" t="n">
        <v>0</v>
      </c>
      <c r="G283" s="3" t="n">
        <v>-1000</v>
      </c>
    </row>
    <row r="284">
      <c r="B284" s="1" t="n">
        <v>45890</v>
      </c>
      <c r="C284" s="1" t="n"/>
      <c r="D284" t="inlineStr">
        <is>
          <t>Withdrawal Internet Transfer TO : XXXX4354</t>
        </is>
      </c>
      <c r="F284" s="3" t="n">
        <v>0</v>
      </c>
      <c r="G284" s="3" t="n">
        <v>-1000</v>
      </c>
    </row>
    <row r="285">
      <c r="B285" s="1" t="n">
        <v>45903</v>
      </c>
      <c r="C285" s="1" t="n"/>
      <c r="D285" t="inlineStr">
        <is>
          <t>Withdrawal Internet Transfer TO : XXXX4354</t>
        </is>
      </c>
      <c r="F285" s="3" t="n">
        <v>0</v>
      </c>
      <c r="G285" s="3" t="n">
        <v>-1000</v>
      </c>
    </row>
    <row r="286">
      <c r="B286" s="1" t="n">
        <v>45931</v>
      </c>
      <c r="C286" s="1" t="n"/>
      <c r="D286" t="inlineStr">
        <is>
          <t>Withdrawal Internet Transfer TO : XXXX4354</t>
        </is>
      </c>
      <c r="F286" s="3" t="n">
        <v>0</v>
      </c>
      <c r="G286" s="3" t="n">
        <v>-1000</v>
      </c>
    </row>
    <row r="287">
      <c r="B287" s="1" t="n">
        <v>45702</v>
      </c>
      <c r="C287" s="1" t="n"/>
      <c r="D287" t="inlineStr">
        <is>
          <t>Withdrawal Repayment</t>
        </is>
      </c>
      <c r="F287" s="3" t="n">
        <v>0</v>
      </c>
      <c r="G287" s="3" t="n">
        <v>-1000</v>
      </c>
    </row>
    <row r="288">
      <c r="B288" s="1" t="n">
        <v>45734</v>
      </c>
      <c r="C288" s="1" t="n"/>
      <c r="D288" t="inlineStr">
        <is>
          <t>Withdrawal Repayment</t>
        </is>
      </c>
      <c r="F288" s="3" t="n">
        <v>0</v>
      </c>
      <c r="G288" s="3" t="n">
        <v>-1000</v>
      </c>
    </row>
    <row r="289">
      <c r="B289" s="1" t="n">
        <v>45767</v>
      </c>
      <c r="C289" s="1" t="n"/>
      <c r="D289" t="inlineStr">
        <is>
          <t>Withdrawal Repayment</t>
        </is>
      </c>
      <c r="F289" s="3" t="n">
        <v>0</v>
      </c>
      <c r="G289" s="3" t="n">
        <v>-1000</v>
      </c>
    </row>
    <row r="290">
      <c r="B290" s="1" t="n">
        <v>45790</v>
      </c>
      <c r="C290" s="1" t="n"/>
      <c r="D290" t="inlineStr">
        <is>
          <t>Withdrawal Repayment</t>
        </is>
      </c>
      <c r="F290" s="3" t="n">
        <v>0</v>
      </c>
      <c r="G290" s="3" t="n">
        <v>-1000</v>
      </c>
    </row>
    <row r="291">
      <c r="B291" s="1" t="n">
        <v>46014</v>
      </c>
      <c r="C291" s="1" t="n"/>
      <c r="D291" t="inlineStr">
        <is>
          <t>Withdrawal Repayment</t>
        </is>
      </c>
      <c r="F291" s="3" t="n">
        <v>0</v>
      </c>
      <c r="G291" s="3" t="n">
        <v>-1000</v>
      </c>
    </row>
    <row r="292">
      <c r="B292" s="1" t="n">
        <v>45835</v>
      </c>
      <c r="C292" s="1" t="n"/>
      <c r="D292" t="inlineStr">
        <is>
          <t>Withdrawal Repayment for Gov Planet</t>
        </is>
      </c>
      <c r="F292" s="3" t="n">
        <v>0</v>
      </c>
      <c r="G292" s="3" t="n">
        <v>-500</v>
      </c>
    </row>
    <row r="293">
      <c r="B293" s="1" t="n">
        <v>46003</v>
      </c>
      <c r="C293" s="1" t="n"/>
      <c r="D293" t="inlineStr">
        <is>
          <t>Withdrawal Repayment for Gov Planet</t>
        </is>
      </c>
      <c r="F293" s="3" t="n">
        <v>0</v>
      </c>
      <c r="G293" s="3" t="n">
        <v>-1000</v>
      </c>
    </row>
    <row r="298">
      <c r="B298" s="1" t="n"/>
      <c r="C298" s="1" t="n"/>
    </row>
    <row r="299">
      <c r="B299" s="1" t="n"/>
      <c r="C299" s="1" t="n"/>
    </row>
    <row r="300">
      <c r="B300" s="1" t="n"/>
      <c r="C300" s="1" t="n"/>
    </row>
    <row r="301">
      <c r="B301" s="1" t="n"/>
      <c r="C301" s="1" t="n"/>
    </row>
    <row r="302">
      <c r="B302" s="1" t="n"/>
      <c r="C302" s="1" t="n"/>
    </row>
    <row r="303">
      <c r="B303" s="1" t="n"/>
      <c r="C303" s="1" t="n"/>
    </row>
    <row r="304">
      <c r="B304" s="1" t="n"/>
      <c r="C304" s="1" t="n"/>
    </row>
    <row r="305">
      <c r="B305" s="1" t="n"/>
      <c r="C305" s="1" t="n"/>
    </row>
    <row r="306">
      <c r="B306" s="1" t="n"/>
      <c r="C306" s="1" t="n"/>
    </row>
    <row r="307">
      <c r="B307" s="1" t="n"/>
      <c r="C307" s="1" t="n"/>
    </row>
    <row r="308">
      <c r="B308" s="1" t="n"/>
      <c r="C308" s="1" t="n"/>
    </row>
    <row r="309">
      <c r="B309" s="1" t="n"/>
      <c r="C309" s="1" t="n"/>
    </row>
    <row r="310">
      <c r="B310" s="1" t="n"/>
      <c r="C310" s="1" t="n"/>
    </row>
    <row r="311">
      <c r="B311" s="1" t="n"/>
      <c r="C311" s="1" t="n"/>
    </row>
    <row r="312">
      <c r="B312" s="1" t="n"/>
      <c r="C312" s="1" t="n"/>
    </row>
    <row r="313">
      <c r="B313" s="1" t="n"/>
      <c r="C313" s="1" t="n"/>
    </row>
    <row r="314">
      <c r="B314" s="1" t="n"/>
      <c r="C314" s="1" t="n"/>
    </row>
    <row r="315">
      <c r="B315" s="1" t="n"/>
      <c r="C315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Unnamed: 0</t>
        </is>
      </c>
      <c r="B1" s="4" t="inlineStr">
        <is>
          <t>Unnamed: 1</t>
        </is>
      </c>
      <c r="C1" s="4" t="inlineStr">
        <is>
          <t>Unnamed: 2</t>
        </is>
      </c>
      <c r="D1" s="4" t="inlineStr">
        <is>
          <t>Unnamed: 3</t>
        </is>
      </c>
      <c r="E1" s="4" t="inlineStr">
        <is>
          <t>Unnamed: 4</t>
        </is>
      </c>
      <c r="F1" s="4" t="inlineStr">
        <is>
          <t>Unnamed: 5</t>
        </is>
      </c>
      <c r="G1" s="4" t="inlineStr">
        <is>
          <t>Unnamed: 6</t>
        </is>
      </c>
    </row>
    <row r="2">
      <c r="A2" t="inlineStr"/>
      <c r="B2" t="inlineStr"/>
      <c r="C2" t="inlineStr"/>
      <c r="D2" t="inlineStr"/>
      <c r="E2" t="inlineStr">
        <is>
          <t>DIFF</t>
        </is>
      </c>
      <c r="F2" t="inlineStr">
        <is>
          <t>0</t>
        </is>
      </c>
      <c r="G2" t="n">
        <v>0</v>
      </c>
    </row>
    <row r="3">
      <c r="A3" t="inlineStr"/>
      <c r="B3" t="inlineStr"/>
      <c r="C3" t="inlineStr"/>
      <c r="D3" t="inlineStr"/>
      <c r="E3" t="inlineStr">
        <is>
          <t>STMT</t>
        </is>
      </c>
      <c r="F3" t="inlineStr">
        <is>
          <t>186164.00999999998</t>
        </is>
      </c>
      <c r="G3" t="n">
        <v>176975.18</v>
      </c>
    </row>
    <row r="4">
      <c r="A4" t="inlineStr"/>
      <c r="B4" t="inlineStr"/>
      <c r="C4" t="inlineStr"/>
      <c r="D4" t="inlineStr"/>
      <c r="E4" t="inlineStr">
        <is>
          <t>TOTAL</t>
        </is>
      </c>
      <c r="F4" t="inlineStr">
        <is>
          <t>186164.01000000004</t>
        </is>
      </c>
      <c r="G4" t="n">
        <v>176975.18</v>
      </c>
    </row>
    <row r="5">
      <c r="A5" t="inlineStr"/>
      <c r="B5" t="inlineStr"/>
      <c r="C5" t="inlineStr"/>
      <c r="D5" t="inlineStr"/>
      <c r="E5" t="inlineStr"/>
      <c r="F5" t="inlineStr"/>
      <c r="G5" t="inlineStr"/>
    </row>
    <row r="6">
      <c r="A6" t="inlineStr"/>
      <c r="B6" t="inlineStr">
        <is>
          <t>date</t>
        </is>
      </c>
      <c r="C6" t="inlineStr"/>
      <c r="D6" t="inlineStr">
        <is>
          <t>description</t>
        </is>
      </c>
      <c r="E6" t="inlineStr"/>
      <c r="F6" t="inlineStr">
        <is>
          <t>amount</t>
        </is>
      </c>
      <c r="G6" t="inlineStr"/>
    </row>
    <row r="7">
      <c r="A7" t="inlineStr"/>
      <c r="B7" t="inlineStr">
        <is>
          <t>2025-10-08 00:00:00</t>
        </is>
      </c>
      <c r="C7" t="inlineStr"/>
      <c r="D7" t="inlineStr">
        <is>
          <t>Ebay</t>
        </is>
      </c>
      <c r="E7" t="inlineStr"/>
      <c r="F7" t="inlineStr">
        <is>
          <t>3437.04</t>
        </is>
      </c>
      <c r="G7" t="n">
        <v>0</v>
      </c>
    </row>
    <row r="8">
      <c r="A8" t="inlineStr"/>
      <c r="B8" t="inlineStr">
        <is>
          <t>2025-06-04 00:00:00</t>
        </is>
      </c>
      <c r="C8" t="inlineStr"/>
      <c r="D8" t="inlineStr">
        <is>
          <t>Ebay</t>
        </is>
      </c>
      <c r="E8" t="inlineStr"/>
      <c r="F8" t="inlineStr">
        <is>
          <t>2791.36</t>
        </is>
      </c>
      <c r="G8" t="n">
        <v>0</v>
      </c>
    </row>
    <row r="9">
      <c r="A9" t="inlineStr"/>
      <c r="B9" t="inlineStr">
        <is>
          <t>2025-08-27 00:00:00</t>
        </is>
      </c>
      <c r="C9" t="inlineStr"/>
      <c r="D9" t="inlineStr">
        <is>
          <t>Ebay</t>
        </is>
      </c>
      <c r="E9" t="inlineStr"/>
      <c r="F9" t="inlineStr">
        <is>
          <t>2837.14</t>
        </is>
      </c>
      <c r="G9" t="n">
        <v>0</v>
      </c>
    </row>
    <row r="10">
      <c r="A10" t="inlineStr"/>
      <c r="B10" t="inlineStr">
        <is>
          <t>2025-03-26 00:00:00</t>
        </is>
      </c>
      <c r="C10" t="inlineStr"/>
      <c r="D10" t="inlineStr">
        <is>
          <t>Ebay</t>
        </is>
      </c>
      <c r="E10" t="inlineStr"/>
      <c r="F10" t="inlineStr">
        <is>
          <t>3826.28</t>
        </is>
      </c>
      <c r="G10" t="n">
        <v>0</v>
      </c>
    </row>
    <row r="11">
      <c r="A11" t="inlineStr"/>
      <c r="B11" t="inlineStr">
        <is>
          <t>2025-05-21 00:00:00</t>
        </is>
      </c>
      <c r="C11" t="inlineStr"/>
      <c r="D11" t="inlineStr">
        <is>
          <t>Ebay</t>
        </is>
      </c>
      <c r="E11" t="inlineStr"/>
      <c r="F11" t="inlineStr">
        <is>
          <t>3933.48</t>
        </is>
      </c>
      <c r="G11" t="n">
        <v>0</v>
      </c>
    </row>
    <row r="12">
      <c r="A12" t="inlineStr"/>
      <c r="B12" t="inlineStr">
        <is>
          <t>2025-12-24 00:00:00</t>
        </is>
      </c>
      <c r="C12" t="inlineStr"/>
      <c r="D12" t="inlineStr">
        <is>
          <t>Ebay</t>
        </is>
      </c>
      <c r="E12" t="inlineStr"/>
      <c r="F12" t="inlineStr">
        <is>
          <t>3442.84</t>
        </is>
      </c>
      <c r="G12" t="n">
        <v>0</v>
      </c>
    </row>
    <row r="13">
      <c r="A13" t="inlineStr"/>
      <c r="B13" t="inlineStr">
        <is>
          <t>2025-08-20 00:00:00</t>
        </is>
      </c>
      <c r="C13" t="inlineStr"/>
      <c r="D13" t="inlineStr">
        <is>
          <t>Ebay</t>
        </is>
      </c>
      <c r="E13" t="inlineStr"/>
      <c r="F13" t="inlineStr">
        <is>
          <t>3330.33</t>
        </is>
      </c>
      <c r="G13" t="n">
        <v>0</v>
      </c>
    </row>
    <row r="14">
      <c r="A14" t="inlineStr"/>
      <c r="B14" t="inlineStr">
        <is>
          <t>2025-02-12 00:00:00</t>
        </is>
      </c>
      <c r="C14" t="inlineStr"/>
      <c r="D14" t="inlineStr">
        <is>
          <t>Ebay</t>
        </is>
      </c>
      <c r="E14" t="inlineStr"/>
      <c r="F14" t="inlineStr">
        <is>
          <t>1811.92</t>
        </is>
      </c>
      <c r="G14" t="n">
        <v>0</v>
      </c>
    </row>
    <row r="15">
      <c r="A15" t="inlineStr"/>
      <c r="B15" t="inlineStr">
        <is>
          <t>2025-06-25 00:00:00</t>
        </is>
      </c>
      <c r="C15" t="inlineStr"/>
      <c r="D15" t="inlineStr">
        <is>
          <t>Ebay</t>
        </is>
      </c>
      <c r="E15" t="inlineStr"/>
      <c r="F15" t="inlineStr">
        <is>
          <t>2858.39</t>
        </is>
      </c>
      <c r="G15" t="n">
        <v>0</v>
      </c>
    </row>
    <row r="16">
      <c r="A16" t="inlineStr"/>
      <c r="B16" t="inlineStr">
        <is>
          <t>2025-10-15 00:00:00</t>
        </is>
      </c>
      <c r="C16" t="inlineStr"/>
      <c r="D16" t="inlineStr">
        <is>
          <t>Ebay</t>
        </is>
      </c>
      <c r="E16" t="inlineStr"/>
      <c r="F16" t="inlineStr">
        <is>
          <t>1964.87</t>
        </is>
      </c>
      <c r="G16" t="n">
        <v>0</v>
      </c>
    </row>
    <row r="17">
      <c r="A17" t="inlineStr"/>
      <c r="B17" t="inlineStr">
        <is>
          <t>2025-04-02 00:00:00</t>
        </is>
      </c>
      <c r="C17" t="inlineStr"/>
      <c r="D17" t="inlineStr">
        <is>
          <t>Ebay</t>
        </is>
      </c>
      <c r="E17" t="inlineStr"/>
      <c r="F17" t="inlineStr">
        <is>
          <t>3093.46</t>
        </is>
      </c>
      <c r="G17" t="n">
        <v>0</v>
      </c>
    </row>
    <row r="18">
      <c r="A18" t="inlineStr"/>
      <c r="B18" t="inlineStr">
        <is>
          <t>2025-12-10 00:00:00</t>
        </is>
      </c>
      <c r="C18" t="inlineStr"/>
      <c r="D18" t="inlineStr">
        <is>
          <t>Ebay</t>
        </is>
      </c>
      <c r="E18" t="inlineStr"/>
      <c r="F18" t="inlineStr">
        <is>
          <t>3834.63</t>
        </is>
      </c>
      <c r="G18" t="n">
        <v>0</v>
      </c>
    </row>
    <row r="19">
      <c r="A19" t="inlineStr"/>
      <c r="B19" t="inlineStr">
        <is>
          <t>2025-09-17 00:00:00</t>
        </is>
      </c>
      <c r="C19" t="inlineStr"/>
      <c r="D19" t="inlineStr">
        <is>
          <t>Ebay</t>
        </is>
      </c>
      <c r="E19" t="inlineStr"/>
      <c r="F19" t="inlineStr">
        <is>
          <t>2625.4</t>
        </is>
      </c>
      <c r="G19" t="n">
        <v>0</v>
      </c>
    </row>
    <row r="20">
      <c r="A20" t="inlineStr"/>
      <c r="B20" t="inlineStr">
        <is>
          <t>2025-09-10 00:00:00</t>
        </is>
      </c>
      <c r="C20" t="inlineStr"/>
      <c r="D20" t="inlineStr">
        <is>
          <t>Ebay</t>
        </is>
      </c>
      <c r="E20" t="inlineStr"/>
      <c r="F20" t="inlineStr">
        <is>
          <t>2768.09</t>
        </is>
      </c>
      <c r="G20" t="n">
        <v>0</v>
      </c>
    </row>
    <row r="21">
      <c r="A21" t="inlineStr"/>
      <c r="B21" t="inlineStr">
        <is>
          <t>2025-07-09 00:00:00</t>
        </is>
      </c>
      <c r="C21" t="inlineStr"/>
      <c r="D21" t="inlineStr">
        <is>
          <t>Ebay</t>
        </is>
      </c>
      <c r="E21" t="inlineStr"/>
      <c r="F21" t="inlineStr">
        <is>
          <t>1670.96</t>
        </is>
      </c>
      <c r="G21" t="n">
        <v>0</v>
      </c>
    </row>
    <row r="22">
      <c r="A22" t="inlineStr"/>
      <c r="B22" t="inlineStr">
        <is>
          <t>2025-01-15 00:00:00</t>
        </is>
      </c>
      <c r="C22" t="inlineStr"/>
      <c r="D22" t="inlineStr">
        <is>
          <t>Ebay</t>
        </is>
      </c>
      <c r="E22" t="inlineStr"/>
      <c r="F22" t="inlineStr">
        <is>
          <t>1730.48</t>
        </is>
      </c>
      <c r="G22" t="n">
        <v>0</v>
      </c>
    </row>
    <row r="23">
      <c r="A23" t="inlineStr"/>
      <c r="B23" t="inlineStr">
        <is>
          <t>2025-01-08 00:00:00</t>
        </is>
      </c>
      <c r="C23" t="inlineStr"/>
      <c r="D23" t="inlineStr">
        <is>
          <t>Ebay</t>
        </is>
      </c>
      <c r="E23" t="inlineStr"/>
      <c r="F23" t="inlineStr">
        <is>
          <t>1774.92</t>
        </is>
      </c>
      <c r="G23" t="n">
        <v>0</v>
      </c>
    </row>
    <row r="24">
      <c r="A24" t="inlineStr"/>
      <c r="B24" t="inlineStr">
        <is>
          <t>2025-10-01 00:00:00</t>
        </is>
      </c>
      <c r="C24" t="inlineStr"/>
      <c r="D24" t="inlineStr">
        <is>
          <t>Ebay</t>
        </is>
      </c>
      <c r="E24" t="inlineStr"/>
      <c r="F24" t="inlineStr">
        <is>
          <t>1035.71</t>
        </is>
      </c>
      <c r="G24" t="n">
        <v>0</v>
      </c>
    </row>
    <row r="25">
      <c r="A25" t="inlineStr"/>
      <c r="B25" t="inlineStr">
        <is>
          <t>2025-10-22 00:00:00</t>
        </is>
      </c>
      <c r="C25" t="inlineStr"/>
      <c r="D25" t="inlineStr">
        <is>
          <t>Ebay</t>
        </is>
      </c>
      <c r="E25" t="inlineStr"/>
      <c r="F25" t="inlineStr">
        <is>
          <t>2812.2</t>
        </is>
      </c>
      <c r="G25" t="n">
        <v>0</v>
      </c>
    </row>
    <row r="26">
      <c r="A26" t="inlineStr"/>
      <c r="B26" t="inlineStr">
        <is>
          <t>2025-12-17 00:00:00</t>
        </is>
      </c>
      <c r="C26" t="inlineStr"/>
      <c r="D26" t="inlineStr">
        <is>
          <t>Ebay</t>
        </is>
      </c>
      <c r="E26" t="inlineStr"/>
      <c r="F26" t="inlineStr">
        <is>
          <t>3356.68</t>
        </is>
      </c>
      <c r="G26" t="n">
        <v>0</v>
      </c>
    </row>
    <row r="27">
      <c r="A27" t="inlineStr"/>
      <c r="B27" t="inlineStr">
        <is>
          <t>2025-01-01 00:00:00</t>
        </is>
      </c>
      <c r="C27" t="inlineStr"/>
      <c r="D27" t="inlineStr">
        <is>
          <t>Ebay</t>
        </is>
      </c>
      <c r="E27" t="inlineStr"/>
      <c r="F27" t="inlineStr">
        <is>
          <t>1185.9</t>
        </is>
      </c>
      <c r="G27" t="n">
        <v>0</v>
      </c>
    </row>
    <row r="28">
      <c r="A28" t="inlineStr"/>
      <c r="B28" t="inlineStr">
        <is>
          <t>2025-04-23 00:00:00</t>
        </is>
      </c>
      <c r="C28" t="inlineStr"/>
      <c r="D28" t="inlineStr">
        <is>
          <t>Ebay</t>
        </is>
      </c>
      <c r="E28" t="inlineStr"/>
      <c r="F28" t="inlineStr">
        <is>
          <t>1074.4</t>
        </is>
      </c>
      <c r="G28" t="n">
        <v>0</v>
      </c>
    </row>
    <row r="29">
      <c r="A29" t="inlineStr"/>
      <c r="B29" t="inlineStr">
        <is>
          <t>2025-07-23 00:00:00</t>
        </is>
      </c>
      <c r="C29" t="inlineStr"/>
      <c r="D29" t="inlineStr">
        <is>
          <t>Ebay</t>
        </is>
      </c>
      <c r="E29" t="inlineStr"/>
      <c r="F29" t="inlineStr">
        <is>
          <t>2931.33</t>
        </is>
      </c>
      <c r="G29" t="n">
        <v>0</v>
      </c>
    </row>
    <row r="30">
      <c r="A30" t="inlineStr"/>
      <c r="B30" t="inlineStr">
        <is>
          <t>2025-12-31 00:00:00</t>
        </is>
      </c>
      <c r="C30" t="inlineStr"/>
      <c r="D30" t="inlineStr">
        <is>
          <t>Ebay</t>
        </is>
      </c>
      <c r="E30" t="inlineStr"/>
      <c r="F30" t="inlineStr">
        <is>
          <t>3150.48</t>
        </is>
      </c>
      <c r="G30" t="n">
        <v>0</v>
      </c>
    </row>
    <row r="31">
      <c r="A31" t="inlineStr"/>
      <c r="B31" t="inlineStr">
        <is>
          <t>2025-03-19 00:00:00</t>
        </is>
      </c>
      <c r="C31" t="inlineStr"/>
      <c r="D31" t="inlineStr">
        <is>
          <t>Ebay</t>
        </is>
      </c>
      <c r="E31" t="inlineStr"/>
      <c r="F31" t="inlineStr">
        <is>
          <t>3969.41</t>
        </is>
      </c>
      <c r="G31" t="n">
        <v>0</v>
      </c>
    </row>
    <row r="32">
      <c r="A32" t="inlineStr"/>
      <c r="B32" t="inlineStr">
        <is>
          <t>2025-05-07 00:00:00</t>
        </is>
      </c>
      <c r="C32" t="inlineStr"/>
      <c r="D32" t="inlineStr">
        <is>
          <t>Ebay</t>
        </is>
      </c>
      <c r="E32" t="inlineStr"/>
      <c r="F32" t="inlineStr">
        <is>
          <t>1795.92</t>
        </is>
      </c>
      <c r="G32" t="n">
        <v>0</v>
      </c>
    </row>
    <row r="33">
      <c r="A33" t="inlineStr"/>
      <c r="B33" t="inlineStr">
        <is>
          <t>2025-02-05 00:00:00</t>
        </is>
      </c>
      <c r="C33" t="inlineStr"/>
      <c r="D33" t="inlineStr">
        <is>
          <t>Ebay</t>
        </is>
      </c>
      <c r="E33" t="inlineStr"/>
      <c r="F33" t="inlineStr">
        <is>
          <t>2106.38</t>
        </is>
      </c>
      <c r="G33" t="n">
        <v>0</v>
      </c>
    </row>
    <row r="34">
      <c r="A34" t="inlineStr"/>
      <c r="B34" t="inlineStr">
        <is>
          <t>2025-01-22 00:00:00</t>
        </is>
      </c>
      <c r="C34" t="inlineStr"/>
      <c r="D34" t="inlineStr">
        <is>
          <t>Ebay</t>
        </is>
      </c>
      <c r="E34" t="inlineStr"/>
      <c r="F34" t="inlineStr">
        <is>
          <t>1556.33</t>
        </is>
      </c>
      <c r="G34" t="n">
        <v>0</v>
      </c>
    </row>
    <row r="35">
      <c r="A35" t="inlineStr"/>
      <c r="B35" t="inlineStr">
        <is>
          <t>2025-03-12 00:00:00</t>
        </is>
      </c>
      <c r="C35" t="inlineStr"/>
      <c r="D35" t="inlineStr">
        <is>
          <t>Ebay</t>
        </is>
      </c>
      <c r="E35" t="inlineStr"/>
      <c r="F35" t="inlineStr">
        <is>
          <t>3413.22</t>
        </is>
      </c>
      <c r="G35" t="n">
        <v>0</v>
      </c>
    </row>
    <row r="36">
      <c r="A36" t="inlineStr"/>
      <c r="B36" t="inlineStr">
        <is>
          <t>2025-05-28 00:00:00</t>
        </is>
      </c>
      <c r="C36" t="inlineStr"/>
      <c r="D36" t="inlineStr">
        <is>
          <t>AMC</t>
        </is>
      </c>
      <c r="E36" t="inlineStr"/>
      <c r="F36" t="inlineStr">
        <is>
          <t>4017.41</t>
        </is>
      </c>
      <c r="G36" t="n">
        <v>0</v>
      </c>
    </row>
    <row r="37">
      <c r="A37" t="inlineStr"/>
      <c r="B37" t="inlineStr">
        <is>
          <t>2025-07-16 00:00:00</t>
        </is>
      </c>
      <c r="C37" t="inlineStr"/>
      <c r="D37" t="inlineStr">
        <is>
          <t>Ebay</t>
        </is>
      </c>
      <c r="E37" t="inlineStr"/>
      <c r="F37" t="inlineStr">
        <is>
          <t>1939.33</t>
        </is>
      </c>
      <c r="G37" t="n">
        <v>0</v>
      </c>
    </row>
    <row r="38">
      <c r="A38" t="inlineStr"/>
      <c r="B38" t="inlineStr">
        <is>
          <t>2025-04-09 00:00:00</t>
        </is>
      </c>
      <c r="C38" t="inlineStr"/>
      <c r="D38" t="inlineStr">
        <is>
          <t>Ebay</t>
        </is>
      </c>
      <c r="E38" t="inlineStr"/>
      <c r="F38" t="inlineStr">
        <is>
          <t>5395.19</t>
        </is>
      </c>
      <c r="G38" t="n">
        <v>0</v>
      </c>
    </row>
    <row r="39">
      <c r="A39" t="inlineStr"/>
      <c r="B39" t="inlineStr">
        <is>
          <t>2025-07-30 00:00:00</t>
        </is>
      </c>
      <c r="C39" t="inlineStr"/>
      <c r="D39" t="inlineStr">
        <is>
          <t>Ebay</t>
        </is>
      </c>
      <c r="E39" t="inlineStr"/>
      <c r="F39" t="inlineStr">
        <is>
          <t>1803.32</t>
        </is>
      </c>
      <c r="G39" t="n">
        <v>0</v>
      </c>
    </row>
    <row r="40">
      <c r="A40" t="inlineStr"/>
      <c r="B40" t="inlineStr">
        <is>
          <t>2025-04-16 00:00:00</t>
        </is>
      </c>
      <c r="C40" t="inlineStr"/>
      <c r="D40" t="inlineStr">
        <is>
          <t>Ebay</t>
        </is>
      </c>
      <c r="E40" t="inlineStr"/>
      <c r="F40" t="inlineStr">
        <is>
          <t>3324.88</t>
        </is>
      </c>
      <c r="G40" t="n">
        <v>0</v>
      </c>
    </row>
    <row r="41">
      <c r="A41" t="inlineStr"/>
      <c r="B41" t="inlineStr">
        <is>
          <t>2025-08-13 00:00:00</t>
        </is>
      </c>
      <c r="C41" t="inlineStr"/>
      <c r="D41" t="inlineStr">
        <is>
          <t>Ebay</t>
        </is>
      </c>
      <c r="E41" t="inlineStr"/>
      <c r="F41" t="inlineStr">
        <is>
          <t>2810.98</t>
        </is>
      </c>
      <c r="G41" t="n">
        <v>0</v>
      </c>
    </row>
    <row r="42">
      <c r="A42" t="inlineStr"/>
      <c r="B42" t="inlineStr">
        <is>
          <t>2025-09-03 00:00:00</t>
        </is>
      </c>
      <c r="C42" t="inlineStr"/>
      <c r="D42" t="inlineStr">
        <is>
          <t>Ebay</t>
        </is>
      </c>
      <c r="E42" t="inlineStr"/>
      <c r="F42" t="inlineStr">
        <is>
          <t>3860.32</t>
        </is>
      </c>
      <c r="G42" t="n">
        <v>0</v>
      </c>
    </row>
    <row r="43">
      <c r="A43" t="inlineStr"/>
      <c r="B43" t="inlineStr">
        <is>
          <t>2025-07-19 00:00:00</t>
        </is>
      </c>
      <c r="C43" t="inlineStr"/>
      <c r="D43" t="inlineStr">
        <is>
          <t>Ebay</t>
        </is>
      </c>
      <c r="E43" t="inlineStr"/>
      <c r="F43" t="inlineStr">
        <is>
          <t>2103.37</t>
        </is>
      </c>
      <c r="G43" t="n">
        <v>0</v>
      </c>
    </row>
    <row r="44">
      <c r="A44" t="inlineStr"/>
      <c r="B44" t="inlineStr">
        <is>
          <t>2025-12-03 00:00:00</t>
        </is>
      </c>
      <c r="C44" t="inlineStr"/>
      <c r="D44" t="inlineStr">
        <is>
          <t>Ebay</t>
        </is>
      </c>
      <c r="E44" t="inlineStr"/>
      <c r="F44" t="inlineStr">
        <is>
          <t>2970.54</t>
        </is>
      </c>
      <c r="G44" t="n">
        <v>0</v>
      </c>
    </row>
    <row r="45">
      <c r="A45" t="inlineStr"/>
      <c r="B45" t="inlineStr">
        <is>
          <t>2025-03-05 00:00:00</t>
        </is>
      </c>
      <c r="C45" t="inlineStr"/>
      <c r="D45" t="inlineStr">
        <is>
          <t>Ebay</t>
        </is>
      </c>
      <c r="E45" t="inlineStr"/>
      <c r="F45" t="inlineStr">
        <is>
          <t>2327.98</t>
        </is>
      </c>
      <c r="G45" t="n">
        <v>0</v>
      </c>
    </row>
    <row r="46">
      <c r="A46" t="inlineStr"/>
      <c r="B46" t="inlineStr">
        <is>
          <t>2025-02-19 00:00:00</t>
        </is>
      </c>
      <c r="C46" t="inlineStr"/>
      <c r="D46" t="inlineStr">
        <is>
          <t>Ebay</t>
        </is>
      </c>
      <c r="E46" t="inlineStr"/>
      <c r="F46" t="inlineStr">
        <is>
          <t>2006.63</t>
        </is>
      </c>
      <c r="G46" t="n">
        <v>0</v>
      </c>
    </row>
    <row r="47">
      <c r="A47" t="inlineStr"/>
      <c r="B47" t="inlineStr">
        <is>
          <t>2025-04-30 00:00:00</t>
        </is>
      </c>
      <c r="C47" t="inlineStr"/>
      <c r="D47" t="inlineStr">
        <is>
          <t>Ebay</t>
        </is>
      </c>
      <c r="E47" t="inlineStr"/>
      <c r="F47" t="inlineStr">
        <is>
          <t>3564.99</t>
        </is>
      </c>
      <c r="G47" t="n">
        <v>0</v>
      </c>
    </row>
    <row r="48">
      <c r="A48" t="inlineStr"/>
      <c r="B48" t="inlineStr">
        <is>
          <t>2025-09-24 00:00:00</t>
        </is>
      </c>
      <c r="C48" t="inlineStr"/>
      <c r="D48" t="inlineStr">
        <is>
          <t>Ebay</t>
        </is>
      </c>
      <c r="E48" t="inlineStr"/>
      <c r="F48" t="inlineStr">
        <is>
          <t>2530.81</t>
        </is>
      </c>
      <c r="G48" t="n">
        <v>0</v>
      </c>
    </row>
    <row r="49">
      <c r="A49" t="inlineStr"/>
      <c r="B49" t="inlineStr">
        <is>
          <t>2025-02-26 00:00:00</t>
        </is>
      </c>
      <c r="C49" t="inlineStr"/>
      <c r="D49" t="inlineStr">
        <is>
          <t>Ebay</t>
        </is>
      </c>
      <c r="E49" t="inlineStr"/>
      <c r="F49" t="inlineStr">
        <is>
          <t>3287.75</t>
        </is>
      </c>
      <c r="G49" t="n">
        <v>0</v>
      </c>
    </row>
    <row r="50">
      <c r="A50" t="inlineStr"/>
      <c r="B50" t="inlineStr">
        <is>
          <t>2025-01-29 00:00:00</t>
        </is>
      </c>
      <c r="C50" t="inlineStr"/>
      <c r="D50" t="inlineStr">
        <is>
          <t>Ebay</t>
        </is>
      </c>
      <c r="E50" t="inlineStr"/>
      <c r="F50" t="inlineStr">
        <is>
          <t>3018.37</t>
        </is>
      </c>
      <c r="G50" t="n">
        <v>0</v>
      </c>
    </row>
    <row r="51">
      <c r="A51" t="inlineStr"/>
      <c r="B51" t="inlineStr">
        <is>
          <t>2025-06-18 00:00:00</t>
        </is>
      </c>
      <c r="C51" t="inlineStr"/>
      <c r="D51" t="inlineStr">
        <is>
          <t>Ebay</t>
        </is>
      </c>
      <c r="E51" t="inlineStr"/>
      <c r="F51" t="inlineStr">
        <is>
          <t>2462.87</t>
        </is>
      </c>
      <c r="G51" t="n">
        <v>0</v>
      </c>
    </row>
    <row r="52">
      <c r="A52" t="inlineStr"/>
      <c r="B52" t="inlineStr">
        <is>
          <t>2025-10-29 00:00:00</t>
        </is>
      </c>
      <c r="C52" t="inlineStr"/>
      <c r="D52" t="inlineStr">
        <is>
          <t>Ebay</t>
        </is>
      </c>
      <c r="E52" t="inlineStr"/>
      <c r="F52" t="inlineStr">
        <is>
          <t>2606.5</t>
        </is>
      </c>
      <c r="G52" t="n">
        <v>0</v>
      </c>
    </row>
    <row r="53">
      <c r="A53" t="inlineStr"/>
      <c r="B53" t="inlineStr">
        <is>
          <t>2025-06-11 00:00:00</t>
        </is>
      </c>
      <c r="C53" t="inlineStr"/>
      <c r="D53" t="inlineStr">
        <is>
          <t>Ebay</t>
        </is>
      </c>
      <c r="E53" t="inlineStr"/>
      <c r="F53" t="inlineStr">
        <is>
          <t>1744.14</t>
        </is>
      </c>
      <c r="G53" t="n">
        <v>0</v>
      </c>
    </row>
    <row r="54">
      <c r="A54" t="inlineStr"/>
      <c r="B54" t="inlineStr">
        <is>
          <t>2025-07-02 00:00:00</t>
        </is>
      </c>
      <c r="C54" t="inlineStr"/>
      <c r="D54" t="inlineStr">
        <is>
          <t>Ebay</t>
        </is>
      </c>
      <c r="E54" t="inlineStr"/>
      <c r="F54" t="inlineStr">
        <is>
          <t>2526.91</t>
        </is>
      </c>
      <c r="G54" t="n">
        <v>0</v>
      </c>
    </row>
    <row r="55">
      <c r="A55" t="inlineStr"/>
      <c r="B55" t="inlineStr">
        <is>
          <t>2025-05-14 00:00:00</t>
        </is>
      </c>
      <c r="C55" t="inlineStr"/>
      <c r="D55" t="inlineStr">
        <is>
          <t>Ebay</t>
        </is>
      </c>
      <c r="E55" t="inlineStr"/>
      <c r="F55" t="inlineStr">
        <is>
          <t>4050.15</t>
        </is>
      </c>
      <c r="G55" t="n">
        <v>0</v>
      </c>
    </row>
    <row r="56">
      <c r="A56" t="inlineStr"/>
      <c r="B56" t="inlineStr">
        <is>
          <t>2025-08-06 00:00:00</t>
        </is>
      </c>
      <c r="C56" t="inlineStr"/>
      <c r="D56" t="inlineStr">
        <is>
          <t>Ebay</t>
        </is>
      </c>
      <c r="E56" t="inlineStr"/>
      <c r="F56" t="inlineStr">
        <is>
          <t>2701.01</t>
        </is>
      </c>
      <c r="G56" t="n">
        <v>0</v>
      </c>
    </row>
    <row r="57">
      <c r="A57" t="inlineStr"/>
      <c r="B57" t="inlineStr">
        <is>
          <t>2025-12-31 00:00:00</t>
        </is>
      </c>
      <c r="C57" t="inlineStr"/>
      <c r="D57" t="inlineStr">
        <is>
          <t>Annual Profit Sharing Extraordinary Dividend</t>
        </is>
      </c>
      <c r="E57" t="inlineStr"/>
      <c r="F57" t="inlineStr">
        <is>
          <t>0.01</t>
        </is>
      </c>
      <c r="G57" t="n">
        <v>0</v>
      </c>
    </row>
    <row r="58">
      <c r="A58" t="inlineStr"/>
      <c r="B58" t="inlineStr">
        <is>
          <t>2025-04-20 00:00:00</t>
        </is>
      </c>
      <c r="C58" t="inlineStr"/>
      <c r="D58" t="inlineStr">
        <is>
          <t>Deposit Internet Transfer FROM: XXXX8804</t>
        </is>
      </c>
      <c r="E58" t="inlineStr"/>
      <c r="F58" t="inlineStr">
        <is>
          <t>1000</t>
        </is>
      </c>
      <c r="G58" t="n">
        <v>0</v>
      </c>
    </row>
    <row r="59">
      <c r="A59" t="inlineStr"/>
      <c r="B59" t="inlineStr">
        <is>
          <t>2025-03-12 00:00:00</t>
        </is>
      </c>
      <c r="C59" t="inlineStr"/>
      <c r="D59" t="inlineStr">
        <is>
          <t>Deposit Loan To Business</t>
        </is>
      </c>
      <c r="E59" t="inlineStr"/>
      <c r="F59" t="inlineStr">
        <is>
          <t>10000</t>
        </is>
      </c>
      <c r="G59" t="n">
        <v>0</v>
      </c>
    </row>
    <row r="60">
      <c r="A60" t="inlineStr"/>
      <c r="B60" t="inlineStr">
        <is>
          <t>2025-03-26 00:00:00</t>
        </is>
      </c>
      <c r="C60" t="inlineStr"/>
      <c r="D60" t="inlineStr">
        <is>
          <t>Deposit Loan To Business</t>
        </is>
      </c>
      <c r="E60" t="inlineStr"/>
      <c r="F60" t="inlineStr">
        <is>
          <t>10000</t>
        </is>
      </c>
      <c r="G60" t="n">
        <v>0</v>
      </c>
    </row>
    <row r="61">
      <c r="A61" t="inlineStr"/>
      <c r="B61" t="inlineStr">
        <is>
          <t>2025-04-20 00:00:00</t>
        </is>
      </c>
      <c r="C61" t="inlineStr"/>
      <c r="D61" t="inlineStr">
        <is>
          <t>Deposit Loan To Business</t>
        </is>
      </c>
      <c r="E61" t="inlineStr"/>
      <c r="F61" t="inlineStr">
        <is>
          <t>7000</t>
        </is>
      </c>
      <c r="G61" t="n">
        <v>0</v>
      </c>
    </row>
    <row r="62">
      <c r="A62" t="inlineStr"/>
      <c r="B62" t="inlineStr">
        <is>
          <t>2025-07-15 00:00:00</t>
        </is>
      </c>
      <c r="C62" t="inlineStr"/>
      <c r="D62" t="inlineStr">
        <is>
          <t>Deposit Loan To Business</t>
        </is>
      </c>
      <c r="E62" t="inlineStr"/>
      <c r="F62" t="inlineStr">
        <is>
          <t>7000</t>
        </is>
      </c>
      <c r="G62" t="n">
        <v>0</v>
      </c>
    </row>
    <row r="63">
      <c r="A63" t="inlineStr"/>
      <c r="B63" t="inlineStr">
        <is>
          <t>2025-07-15 00:00:00</t>
        </is>
      </c>
      <c r="C63" t="inlineStr"/>
      <c r="D63" t="inlineStr">
        <is>
          <t>Deposit Loan To Business</t>
        </is>
      </c>
      <c r="E63" t="inlineStr"/>
      <c r="F63" t="inlineStr">
        <is>
          <t>6000</t>
        </is>
      </c>
      <c r="G63" t="n">
        <v>0</v>
      </c>
    </row>
    <row r="64">
      <c r="A64" t="inlineStr"/>
      <c r="B64" t="inlineStr">
        <is>
          <t>2025-01-30 00:00:00</t>
        </is>
      </c>
      <c r="C64" t="inlineStr"/>
      <c r="D64" t="inlineStr">
        <is>
          <t>Deposit Loan To Business</t>
        </is>
      </c>
      <c r="E64" t="inlineStr"/>
      <c r="F64" t="inlineStr">
        <is>
          <t>4000</t>
        </is>
      </c>
      <c r="G64" t="n">
        <v>0</v>
      </c>
    </row>
    <row r="65">
      <c r="A65" t="inlineStr"/>
      <c r="B65" t="inlineStr">
        <is>
          <t>2025-05-27 00:00:00</t>
        </is>
      </c>
      <c r="C65" t="inlineStr"/>
      <c r="D65" t="inlineStr">
        <is>
          <t>Deposit Loan To Business</t>
        </is>
      </c>
      <c r="E65" t="inlineStr"/>
      <c r="F65" t="inlineStr">
        <is>
          <t>2000</t>
        </is>
      </c>
      <c r="G65" t="n">
        <v>0</v>
      </c>
    </row>
    <row r="66">
      <c r="A66" t="inlineStr"/>
      <c r="B66" t="inlineStr">
        <is>
          <t>2025-05-07 00:00:00</t>
        </is>
      </c>
      <c r="C66" t="inlineStr"/>
      <c r="D66" t="inlineStr">
        <is>
          <t>Deposit Purchase through PayPal</t>
        </is>
      </c>
      <c r="E66" t="inlineStr"/>
      <c r="F66" t="inlineStr">
        <is>
          <t>1400</t>
        </is>
      </c>
      <c r="G66" t="n">
        <v>0</v>
      </c>
    </row>
    <row r="67">
      <c r="A67" t="inlineStr"/>
      <c r="B67" t="inlineStr">
        <is>
          <t>2025-12-31 00:00:00</t>
        </is>
      </c>
      <c r="C67" t="inlineStr"/>
      <c r="D67" t="inlineStr">
        <is>
          <t>Descriptive Deposit Annual Profit Sharing-Business Account</t>
        </is>
      </c>
      <c r="E67" t="inlineStr"/>
      <c r="F67" t="inlineStr">
        <is>
          <t>90</t>
        </is>
      </c>
      <c r="G67" t="n">
        <v>0</v>
      </c>
    </row>
    <row r="68">
      <c r="A68" t="inlineStr"/>
      <c r="B68" t="inlineStr">
        <is>
          <t>2025-06-16 00:00:00</t>
        </is>
      </c>
      <c r="C68" t="inlineStr"/>
      <c r="D68" t="inlineStr">
        <is>
          <t>Domestic Wire Deposit WIRE RETURNED FROM WF EXC RTN TO SNDR 721 WIP</t>
        </is>
      </c>
      <c r="E68" t="inlineStr"/>
      <c r="F68" t="inlineStr">
        <is>
          <t>391</t>
        </is>
      </c>
      <c r="G68" t="n">
        <v>0</v>
      </c>
    </row>
    <row r="69">
      <c r="A69" t="inlineStr"/>
      <c r="B69" t="inlineStr">
        <is>
          <t>2025-05-31 00:00:00</t>
        </is>
      </c>
      <c r="C69" t="inlineStr"/>
      <c r="D69" t="inlineStr">
        <is>
          <t>NOW Deposit Zelle CARLOS JIMENEZ 800-231-1626 515100.00</t>
        </is>
      </c>
      <c r="E69" t="inlineStr"/>
      <c r="F69" t="inlineStr">
        <is>
          <t>110</t>
        </is>
      </c>
      <c r="G69" t="n">
        <v>0</v>
      </c>
    </row>
    <row r="70">
      <c r="A70" t="inlineStr"/>
      <c r="B70" t="inlineStr"/>
      <c r="C70" t="inlineStr"/>
      <c r="D70" t="inlineStr"/>
      <c r="E70" t="inlineStr"/>
      <c r="F70" t="inlineStr"/>
      <c r="G70" t="inlineStr"/>
    </row>
    <row r="71">
      <c r="A71" t="inlineStr"/>
      <c r="B71" t="inlineStr"/>
      <c r="C71" t="inlineStr"/>
      <c r="D71" t="inlineStr"/>
      <c r="E71" t="inlineStr"/>
      <c r="F71" t="inlineStr"/>
      <c r="G71" t="inlineStr"/>
    </row>
    <row r="72">
      <c r="A72" t="inlineStr"/>
      <c r="B72" t="inlineStr">
        <is>
          <t>2025-03-20 00:00:00</t>
        </is>
      </c>
      <c r="C72" t="inlineStr"/>
      <c r="D72" t="inlineStr">
        <is>
          <t>117</t>
        </is>
      </c>
      <c r="E72" t="inlineStr">
        <is>
          <t>117</t>
        </is>
      </c>
      <c r="F72" t="inlineStr">
        <is>
          <t>0</t>
        </is>
      </c>
      <c r="G72" t="n">
        <v>-3150</v>
      </c>
    </row>
    <row r="73">
      <c r="A73" t="inlineStr"/>
      <c r="B73" t="inlineStr">
        <is>
          <t>2025-04-28 00:00:00</t>
        </is>
      </c>
      <c r="C73" t="inlineStr"/>
      <c r="D73" t="inlineStr">
        <is>
          <t>118</t>
        </is>
      </c>
      <c r="E73" t="inlineStr">
        <is>
          <t>118</t>
        </is>
      </c>
      <c r="F73" t="inlineStr">
        <is>
          <t>0</t>
        </is>
      </c>
      <c r="G73" t="n">
        <v>-800</v>
      </c>
    </row>
    <row r="74">
      <c r="A74" t="inlineStr"/>
      <c r="B74" t="inlineStr">
        <is>
          <t>2025-06-09 00:00:00</t>
        </is>
      </c>
      <c r="C74" t="inlineStr"/>
      <c r="D74" t="inlineStr">
        <is>
          <t>119</t>
        </is>
      </c>
      <c r="E74" t="inlineStr">
        <is>
          <t>119</t>
        </is>
      </c>
      <c r="F74" t="inlineStr">
        <is>
          <t>0</t>
        </is>
      </c>
      <c r="G74" t="n">
        <v>-345</v>
      </c>
    </row>
    <row r="75">
      <c r="A75" t="inlineStr"/>
      <c r="B75" t="inlineStr">
        <is>
          <t>2025-06-12 00:00:00</t>
        </is>
      </c>
      <c r="C75" t="inlineStr"/>
      <c r="D75" t="inlineStr">
        <is>
          <t>120</t>
        </is>
      </c>
      <c r="E75" t="inlineStr">
        <is>
          <t>120</t>
        </is>
      </c>
      <c r="F75" t="inlineStr">
        <is>
          <t>0</t>
        </is>
      </c>
      <c r="G75" t="n">
        <v>-2040.24</v>
      </c>
    </row>
    <row r="76">
      <c r="A76" t="inlineStr"/>
      <c r="B76" t="inlineStr">
        <is>
          <t>2025-09-04 00:00:00</t>
        </is>
      </c>
      <c r="C76" t="inlineStr"/>
      <c r="D76" t="inlineStr">
        <is>
          <t>121</t>
        </is>
      </c>
      <c r="E76" t="inlineStr">
        <is>
          <t>121</t>
        </is>
      </c>
      <c r="F76" t="inlineStr">
        <is>
          <t>0</t>
        </is>
      </c>
      <c r="G76" t="n">
        <v>-106.25</v>
      </c>
    </row>
    <row r="77">
      <c r="A77" t="inlineStr"/>
      <c r="B77" t="inlineStr">
        <is>
          <t>2025-10-28 00:00:00</t>
        </is>
      </c>
      <c r="C77" t="inlineStr"/>
      <c r="D77" t="inlineStr">
        <is>
          <t>122</t>
        </is>
      </c>
      <c r="E77" t="inlineStr">
        <is>
          <t>122</t>
        </is>
      </c>
      <c r="F77" t="inlineStr">
        <is>
          <t>0</t>
        </is>
      </c>
      <c r="G77" t="n">
        <v>-27.72</v>
      </c>
    </row>
    <row r="78">
      <c r="A78" t="inlineStr"/>
      <c r="B78" t="inlineStr"/>
      <c r="C78" t="inlineStr"/>
      <c r="D78" t="inlineStr"/>
      <c r="E78" t="inlineStr"/>
      <c r="F78" t="inlineStr"/>
      <c r="G78" t="inlineStr"/>
    </row>
    <row r="79">
      <c r="A79" t="inlineStr"/>
      <c r="B79" t="inlineStr">
        <is>
          <t>2025-10-01 00:00:00</t>
        </is>
      </c>
      <c r="C79" t="inlineStr"/>
      <c r="D79" t="inlineStr">
        <is>
          <t>AMAZON CORP - SYF PAYMNT 42202680492199</t>
        </is>
      </c>
      <c r="E79" t="inlineStr"/>
      <c r="F79" t="inlineStr">
        <is>
          <t>0</t>
        </is>
      </c>
      <c r="G79" t="n">
        <v>-408.74</v>
      </c>
    </row>
    <row r="80">
      <c r="A80" t="inlineStr"/>
      <c r="B80" t="inlineStr">
        <is>
          <t>2025-04-15 00:00:00</t>
        </is>
      </c>
      <c r="C80" t="inlineStr"/>
      <c r="D80" t="inlineStr">
        <is>
          <t>AMAZON CORP - SYF PAYMNT 42202680628292.00</t>
        </is>
      </c>
      <c r="E80" t="inlineStr"/>
      <c r="F80" t="inlineStr">
        <is>
          <t>0</t>
        </is>
      </c>
      <c r="G80" t="n">
        <v>-1370.46</v>
      </c>
    </row>
    <row r="81">
      <c r="A81" t="inlineStr"/>
      <c r="B81" t="inlineStr">
        <is>
          <t>2025-06-20 00:00:00</t>
        </is>
      </c>
      <c r="C81" t="inlineStr"/>
      <c r="D81" t="inlineStr">
        <is>
          <t>AMAZON CORP - SYF PAYMNT 42202681051680.00</t>
        </is>
      </c>
      <c r="E81" t="inlineStr"/>
      <c r="F81" t="inlineStr">
        <is>
          <t>0</t>
        </is>
      </c>
      <c r="G81" t="n">
        <v>-1624.63</v>
      </c>
    </row>
    <row r="82">
      <c r="A82" t="inlineStr"/>
      <c r="B82" t="inlineStr">
        <is>
          <t>2025-03-10 00:00:00</t>
        </is>
      </c>
      <c r="C82" t="inlineStr"/>
      <c r="D82" t="inlineStr">
        <is>
          <t>AMAZON CORP - SYF PAYMNT 42202681940022.00</t>
        </is>
      </c>
      <c r="E82" t="inlineStr"/>
      <c r="F82" t="inlineStr">
        <is>
          <t>0</t>
        </is>
      </c>
      <c r="G82" t="n">
        <v>-428.64</v>
      </c>
    </row>
    <row r="83">
      <c r="A83" t="inlineStr"/>
      <c r="B83" t="inlineStr">
        <is>
          <t>2025-07-21 00:00:00</t>
        </is>
      </c>
      <c r="C83" t="inlineStr"/>
      <c r="D83" t="inlineStr">
        <is>
          <t>AMAZON CORP - SYF PAYMNT 42202681950612.00</t>
        </is>
      </c>
      <c r="E83" t="inlineStr"/>
      <c r="F83" t="inlineStr">
        <is>
          <t>0</t>
        </is>
      </c>
      <c r="G83" t="n">
        <v>-858.23</v>
      </c>
    </row>
    <row r="84">
      <c r="A84" t="inlineStr"/>
      <c r="B84" t="inlineStr">
        <is>
          <t>2025-02-18 00:00:00</t>
        </is>
      </c>
      <c r="C84" t="inlineStr"/>
      <c r="D84" t="inlineStr">
        <is>
          <t>AMAZON CORP - SYF PAYMNT 42202683050524.00</t>
        </is>
      </c>
      <c r="E84" t="inlineStr"/>
      <c r="F84" t="inlineStr">
        <is>
          <t>0</t>
        </is>
      </c>
      <c r="G84" t="n">
        <v>-418.7</v>
      </c>
    </row>
    <row r="85">
      <c r="A85" t="inlineStr"/>
      <c r="B85" t="inlineStr">
        <is>
          <t>2025-05-09 00:00:00</t>
        </is>
      </c>
      <c r="C85" t="inlineStr"/>
      <c r="D85" t="inlineStr">
        <is>
          <t>AMAZON CORP - SYF PAYMNT 42202684155487.00</t>
        </is>
      </c>
      <c r="E85" t="inlineStr"/>
      <c r="F85" t="inlineStr">
        <is>
          <t>0</t>
        </is>
      </c>
      <c r="G85" t="n">
        <v>-1097.17</v>
      </c>
    </row>
    <row r="86">
      <c r="A86" t="inlineStr"/>
      <c r="B86" t="inlineStr">
        <is>
          <t>2025-07-30 00:00:00</t>
        </is>
      </c>
      <c r="C86" t="inlineStr"/>
      <c r="D86" t="inlineStr">
        <is>
          <t>AMAZON CORP - SYF PAYMNT 42202685546879.00</t>
        </is>
      </c>
      <c r="E86" t="inlineStr"/>
      <c r="F86" t="inlineStr">
        <is>
          <t>0</t>
        </is>
      </c>
      <c r="G86" t="n">
        <v>-432.42</v>
      </c>
    </row>
    <row r="87">
      <c r="A87" t="inlineStr"/>
      <c r="B87" t="inlineStr">
        <is>
          <t>2025-01-15 00:00:00</t>
        </is>
      </c>
      <c r="C87" t="inlineStr"/>
      <c r="D87" t="inlineStr">
        <is>
          <t>AMAZON CORP - SYF PAYMNT 42202686499675.00</t>
        </is>
      </c>
      <c r="E87" t="inlineStr"/>
      <c r="F87" t="inlineStr">
        <is>
          <t>0</t>
        </is>
      </c>
      <c r="G87" t="n">
        <v>-1204.66</v>
      </c>
    </row>
    <row r="88">
      <c r="A88" t="inlineStr"/>
      <c r="B88" t="inlineStr">
        <is>
          <t>2025-12-15 00:00:00</t>
        </is>
      </c>
      <c r="C88" t="inlineStr"/>
      <c r="D88" t="inlineStr">
        <is>
          <t>AMAZON CORP - SYF PAYMNT 42202687545117.00</t>
        </is>
      </c>
      <c r="E88" t="inlineStr"/>
      <c r="F88" t="inlineStr">
        <is>
          <t>0</t>
        </is>
      </c>
      <c r="G88" t="n">
        <v>-1805.15</v>
      </c>
    </row>
    <row r="89">
      <c r="A89" t="inlineStr"/>
      <c r="B89" t="inlineStr">
        <is>
          <t>2025-09-05 00:00:00</t>
        </is>
      </c>
      <c r="C89" t="inlineStr"/>
      <c r="D89" t="inlineStr">
        <is>
          <t>Amazon Fire</t>
        </is>
      </c>
      <c r="E89" t="inlineStr"/>
      <c r="F89" t="inlineStr">
        <is>
          <t>0</t>
        </is>
      </c>
      <c r="G89" t="n">
        <v>-322.74</v>
      </c>
    </row>
    <row r="90">
      <c r="A90" t="inlineStr"/>
      <c r="B90" t="inlineStr">
        <is>
          <t>2025-08-25 00:00:00</t>
        </is>
      </c>
      <c r="C90" t="inlineStr"/>
      <c r="D90" t="inlineStr">
        <is>
          <t>Amazon Fire</t>
        </is>
      </c>
      <c r="E90" t="inlineStr"/>
      <c r="F90" t="inlineStr">
        <is>
          <t>0</t>
        </is>
      </c>
      <c r="G90" t="n">
        <v>-357.05</v>
      </c>
    </row>
    <row r="91">
      <c r="A91" t="inlineStr"/>
      <c r="B91" t="inlineStr">
        <is>
          <t>2025-12-15 00:00:00</t>
        </is>
      </c>
      <c r="C91" t="inlineStr"/>
      <c r="D91" t="inlineStr">
        <is>
          <t>Amex</t>
        </is>
      </c>
      <c r="E91" t="inlineStr"/>
      <c r="F91" t="inlineStr">
        <is>
          <t>0</t>
        </is>
      </c>
      <c r="G91" t="n">
        <v>-63.85</v>
      </c>
    </row>
    <row r="92">
      <c r="A92" t="inlineStr"/>
      <c r="B92" t="inlineStr">
        <is>
          <t>2025-03-10 00:00:00</t>
        </is>
      </c>
      <c r="C92" t="inlineStr"/>
      <c r="D92" t="inlineStr">
        <is>
          <t>Amex</t>
        </is>
      </c>
      <c r="E92" t="inlineStr"/>
      <c r="F92" t="inlineStr">
        <is>
          <t>0</t>
        </is>
      </c>
      <c r="G92" t="n">
        <v>-367.88</v>
      </c>
    </row>
    <row r="93">
      <c r="A93" t="inlineStr"/>
      <c r="B93" t="inlineStr">
        <is>
          <t>2025-06-09 00:00:00</t>
        </is>
      </c>
      <c r="C93" t="inlineStr"/>
      <c r="D93" t="inlineStr">
        <is>
          <t>Amex</t>
        </is>
      </c>
      <c r="E93" t="inlineStr"/>
      <c r="F93" t="inlineStr">
        <is>
          <t>0</t>
        </is>
      </c>
      <c r="G93" t="n">
        <v>-887.53</v>
      </c>
    </row>
    <row r="94">
      <c r="A94" t="inlineStr"/>
      <c r="B94" t="inlineStr">
        <is>
          <t>2025-07-29 00:00:00</t>
        </is>
      </c>
      <c r="C94" t="inlineStr"/>
      <c r="D94" t="inlineStr">
        <is>
          <t>Amex</t>
        </is>
      </c>
      <c r="E94" t="inlineStr"/>
      <c r="F94" t="inlineStr">
        <is>
          <t>0</t>
        </is>
      </c>
      <c r="G94" t="n">
        <v>-327.71</v>
      </c>
    </row>
    <row r="95">
      <c r="A95" t="inlineStr"/>
      <c r="B95" t="inlineStr">
        <is>
          <t>2025-12-03 00:00:00</t>
        </is>
      </c>
      <c r="C95" t="inlineStr"/>
      <c r="D95" t="inlineStr">
        <is>
          <t>Amex</t>
        </is>
      </c>
      <c r="E95" t="inlineStr"/>
      <c r="F95" t="inlineStr">
        <is>
          <t>0</t>
        </is>
      </c>
      <c r="G95" t="n">
        <v>-611.02</v>
      </c>
    </row>
    <row r="96">
      <c r="A96" t="inlineStr"/>
      <c r="B96" t="inlineStr">
        <is>
          <t>2025-01-14 00:00:00</t>
        </is>
      </c>
      <c r="C96" t="inlineStr"/>
      <c r="D96" t="inlineStr">
        <is>
          <t>Amex</t>
        </is>
      </c>
      <c r="E96" t="inlineStr"/>
      <c r="F96" t="inlineStr">
        <is>
          <t>0</t>
        </is>
      </c>
      <c r="G96" t="n">
        <v>-47.92</v>
      </c>
    </row>
    <row r="97">
      <c r="A97" t="inlineStr"/>
      <c r="B97" t="inlineStr">
        <is>
          <t>2025-09-30 00:00:00</t>
        </is>
      </c>
      <c r="C97" t="inlineStr"/>
      <c r="D97" t="inlineStr">
        <is>
          <t>Amex</t>
        </is>
      </c>
      <c r="E97" t="inlineStr"/>
      <c r="F97" t="inlineStr">
        <is>
          <t>0</t>
        </is>
      </c>
      <c r="G97" t="n">
        <v>-170.11</v>
      </c>
    </row>
    <row r="98">
      <c r="A98" t="inlineStr"/>
      <c r="B98" t="inlineStr">
        <is>
          <t>2025-10-16 00:00:00</t>
        </is>
      </c>
      <c r="C98" t="inlineStr"/>
      <c r="D98" t="inlineStr">
        <is>
          <t>Amex</t>
        </is>
      </c>
      <c r="E98" t="inlineStr"/>
      <c r="F98" t="inlineStr">
        <is>
          <t>0</t>
        </is>
      </c>
      <c r="G98" t="n">
        <v>-338.79</v>
      </c>
    </row>
    <row r="99">
      <c r="A99" t="inlineStr"/>
      <c r="B99" t="inlineStr">
        <is>
          <t>2025-12-30 00:00:00</t>
        </is>
      </c>
      <c r="C99" t="inlineStr"/>
      <c r="D99" t="inlineStr">
        <is>
          <t>Amex</t>
        </is>
      </c>
      <c r="E99" t="inlineStr"/>
      <c r="F99" t="inlineStr">
        <is>
          <t>0</t>
        </is>
      </c>
      <c r="G99" t="n">
        <v>-298.43</v>
      </c>
    </row>
    <row r="100">
      <c r="A100" t="inlineStr"/>
      <c r="B100" t="inlineStr">
        <is>
          <t>2025-07-14 00:00:00</t>
        </is>
      </c>
      <c r="C100" t="inlineStr"/>
      <c r="D100" t="inlineStr">
        <is>
          <t>Amex</t>
        </is>
      </c>
      <c r="E100" t="inlineStr"/>
      <c r="F100" t="inlineStr">
        <is>
          <t>0</t>
        </is>
      </c>
      <c r="G100" t="n">
        <v>-1482.53</v>
      </c>
    </row>
    <row r="101">
      <c r="A101" t="inlineStr"/>
      <c r="B101" t="inlineStr">
        <is>
          <t>2025-06-20 00:00:00</t>
        </is>
      </c>
      <c r="C101" t="inlineStr"/>
      <c r="D101" t="inlineStr">
        <is>
          <t>Amex</t>
        </is>
      </c>
      <c r="E101" t="inlineStr"/>
      <c r="F101" t="inlineStr">
        <is>
          <t>0</t>
        </is>
      </c>
      <c r="G101" t="n">
        <v>-363.98</v>
      </c>
    </row>
    <row r="102">
      <c r="A102" t="inlineStr"/>
      <c r="B102" t="inlineStr">
        <is>
          <t>2025-08-22 00:00:00</t>
        </is>
      </c>
      <c r="C102" t="inlineStr"/>
      <c r="D102" t="inlineStr">
        <is>
          <t>Amex</t>
        </is>
      </c>
      <c r="E102" t="inlineStr"/>
      <c r="F102" t="inlineStr">
        <is>
          <t>0</t>
        </is>
      </c>
      <c r="G102" t="n">
        <v>-461.15</v>
      </c>
    </row>
    <row r="103">
      <c r="A103" t="inlineStr"/>
      <c r="B103" t="inlineStr">
        <is>
          <t>2025-05-16 00:00:00</t>
        </is>
      </c>
      <c r="C103" t="inlineStr"/>
      <c r="D103" t="inlineStr">
        <is>
          <t>Amex</t>
        </is>
      </c>
      <c r="E103" t="inlineStr"/>
      <c r="F103" t="inlineStr">
        <is>
          <t>0</t>
        </is>
      </c>
      <c r="G103" t="n">
        <v>-185.47</v>
      </c>
    </row>
    <row r="104">
      <c r="A104" t="inlineStr"/>
      <c r="B104" t="inlineStr">
        <is>
          <t>2025-01-27 00:00:00</t>
        </is>
      </c>
      <c r="C104" t="inlineStr"/>
      <c r="D104" t="inlineStr">
        <is>
          <t>Amex</t>
        </is>
      </c>
      <c r="E104" t="inlineStr"/>
      <c r="F104" t="inlineStr">
        <is>
          <t>0</t>
        </is>
      </c>
      <c r="G104" t="n">
        <v>-1093.83</v>
      </c>
    </row>
    <row r="105">
      <c r="A105" t="inlineStr"/>
      <c r="B105" t="inlineStr">
        <is>
          <t>2025-02-18 00:00:00</t>
        </is>
      </c>
      <c r="C105" t="inlineStr"/>
      <c r="D105" t="inlineStr">
        <is>
          <t>Amex</t>
        </is>
      </c>
      <c r="E105" t="inlineStr"/>
      <c r="F105" t="inlineStr">
        <is>
          <t>0</t>
        </is>
      </c>
      <c r="G105" t="n">
        <v>-1537.41</v>
      </c>
    </row>
    <row r="106">
      <c r="A106" t="inlineStr"/>
      <c r="B106" t="inlineStr">
        <is>
          <t>2025-03-19 00:00:00</t>
        </is>
      </c>
      <c r="C106" t="inlineStr"/>
      <c r="D106" t="inlineStr">
        <is>
          <t>Amex</t>
        </is>
      </c>
      <c r="E106" t="inlineStr"/>
      <c r="F106" t="inlineStr">
        <is>
          <t>0</t>
        </is>
      </c>
      <c r="G106" t="n">
        <v>-149.81</v>
      </c>
    </row>
    <row r="107">
      <c r="A107" t="inlineStr"/>
      <c r="B107" t="inlineStr">
        <is>
          <t>2025-04-21 00:00:00</t>
        </is>
      </c>
      <c r="C107" t="inlineStr"/>
      <c r="D107" t="inlineStr">
        <is>
          <t>Amex</t>
        </is>
      </c>
      <c r="E107" t="inlineStr"/>
      <c r="F107" t="inlineStr">
        <is>
          <t>0</t>
        </is>
      </c>
      <c r="G107" t="n">
        <v>-3689.16</v>
      </c>
    </row>
    <row r="108">
      <c r="A108" t="inlineStr"/>
      <c r="B108" t="inlineStr">
        <is>
          <t>2025-09-04 00:00:00</t>
        </is>
      </c>
      <c r="C108" t="inlineStr"/>
      <c r="D108" t="inlineStr">
        <is>
          <t>Amex</t>
        </is>
      </c>
      <c r="E108" t="inlineStr"/>
      <c r="F108" t="inlineStr">
        <is>
          <t>0</t>
        </is>
      </c>
      <c r="G108" t="n">
        <v>-5.95</v>
      </c>
    </row>
    <row r="109">
      <c r="A109" t="inlineStr"/>
      <c r="B109" t="inlineStr">
        <is>
          <t>2025-05-08 00:00:00</t>
        </is>
      </c>
      <c r="C109" t="inlineStr"/>
      <c r="D109" t="inlineStr">
        <is>
          <t>Amex</t>
        </is>
      </c>
      <c r="E109" t="inlineStr"/>
      <c r="F109" t="inlineStr">
        <is>
          <t>0</t>
        </is>
      </c>
      <c r="G109" t="n">
        <v>-748.38</v>
      </c>
    </row>
    <row r="110">
      <c r="A110" t="inlineStr"/>
      <c r="B110" t="inlineStr">
        <is>
          <t>2025-09-03 00:00:00</t>
        </is>
      </c>
      <c r="C110" t="inlineStr"/>
      <c r="D110" t="inlineStr">
        <is>
          <t>ATT - PAYMENT 31100201081932</t>
        </is>
      </c>
      <c r="E110" t="inlineStr"/>
      <c r="F110" t="inlineStr">
        <is>
          <t>0</t>
        </is>
      </c>
      <c r="G110" t="n">
        <v>-174.98</v>
      </c>
    </row>
    <row r="111">
      <c r="A111" t="inlineStr"/>
      <c r="B111" t="inlineStr">
        <is>
          <t>2025-12-05 00:00:00</t>
        </is>
      </c>
      <c r="C111" t="inlineStr"/>
      <c r="D111" t="inlineStr">
        <is>
          <t>ATT - PAYMENT 31100201315371.00</t>
        </is>
      </c>
      <c r="E111" t="inlineStr"/>
      <c r="F111" t="inlineStr">
        <is>
          <t>0</t>
        </is>
      </c>
      <c r="G111" t="n">
        <v>-211.98</v>
      </c>
    </row>
    <row r="112">
      <c r="A112" t="inlineStr"/>
      <c r="B112" t="inlineStr">
        <is>
          <t>2025-10-06 00:00:00</t>
        </is>
      </c>
      <c r="C112" t="inlineStr"/>
      <c r="D112" t="inlineStr">
        <is>
          <t>ATT - PAYMENT 31100204346667</t>
        </is>
      </c>
      <c r="E112" t="inlineStr"/>
      <c r="F112" t="inlineStr">
        <is>
          <t>0</t>
        </is>
      </c>
      <c r="G112" t="n">
        <v>-174.98</v>
      </c>
    </row>
    <row r="113">
      <c r="A113" t="inlineStr"/>
      <c r="B113" t="inlineStr">
        <is>
          <t>2025-03-06 00:00:00</t>
        </is>
      </c>
      <c r="C113" t="inlineStr"/>
      <c r="D113" t="inlineStr">
        <is>
          <t>ATT - Payment 31100204605100.00</t>
        </is>
      </c>
      <c r="E113" t="inlineStr"/>
      <c r="F113" t="inlineStr">
        <is>
          <t>0</t>
        </is>
      </c>
      <c r="G113" t="n">
        <v>-176.08</v>
      </c>
    </row>
    <row r="114">
      <c r="A114" t="inlineStr"/>
      <c r="B114" t="inlineStr">
        <is>
          <t>2025-02-04 00:00:00</t>
        </is>
      </c>
      <c r="C114" t="inlineStr"/>
      <c r="D114" t="inlineStr">
        <is>
          <t>ATT - Payment 31100204992988.00</t>
        </is>
      </c>
      <c r="E114" t="inlineStr"/>
      <c r="F114" t="inlineStr">
        <is>
          <t>0</t>
        </is>
      </c>
      <c r="G114" t="n">
        <v>-179.07</v>
      </c>
    </row>
    <row r="115">
      <c r="A115" t="inlineStr"/>
      <c r="B115" t="inlineStr">
        <is>
          <t>2025-07-07 00:00:00</t>
        </is>
      </c>
      <c r="C115" t="inlineStr"/>
      <c r="D115" t="inlineStr">
        <is>
          <t>ATT - PAYMENT 31100206387532.00</t>
        </is>
      </c>
      <c r="E115" t="inlineStr"/>
      <c r="F115" t="inlineStr">
        <is>
          <t>0</t>
        </is>
      </c>
      <c r="G115" t="n">
        <v>-174.98</v>
      </c>
    </row>
    <row r="116">
      <c r="A116" t="inlineStr"/>
      <c r="B116" t="inlineStr">
        <is>
          <t>2025-01-03 00:00:00</t>
        </is>
      </c>
      <c r="C116" t="inlineStr"/>
      <c r="D116" t="inlineStr">
        <is>
          <t>ATT - Payment 31100206744799.00</t>
        </is>
      </c>
      <c r="E116" t="inlineStr"/>
      <c r="F116" t="inlineStr">
        <is>
          <t>0</t>
        </is>
      </c>
      <c r="G116" t="n">
        <v>-176.08</v>
      </c>
    </row>
    <row r="117">
      <c r="A117" t="inlineStr"/>
      <c r="B117" t="inlineStr">
        <is>
          <t>2025-05-06 00:00:00</t>
        </is>
      </c>
      <c r="C117" t="inlineStr"/>
      <c r="D117" t="inlineStr">
        <is>
          <t>ATT - Payment 31100207329730.00</t>
        </is>
      </c>
      <c r="E117" t="inlineStr"/>
      <c r="F117" t="inlineStr">
        <is>
          <t>0</t>
        </is>
      </c>
      <c r="G117" t="n">
        <v>-174.98</v>
      </c>
    </row>
    <row r="118">
      <c r="A118" t="inlineStr"/>
      <c r="B118" t="inlineStr">
        <is>
          <t>2025-04-03 00:00:00</t>
        </is>
      </c>
      <c r="C118" t="inlineStr"/>
      <c r="D118" t="inlineStr">
        <is>
          <t>ATT - Payment 31100207988123.00</t>
        </is>
      </c>
      <c r="E118" t="inlineStr"/>
      <c r="F118" t="inlineStr">
        <is>
          <t>0</t>
        </is>
      </c>
      <c r="G118" t="n">
        <v>-176.08</v>
      </c>
    </row>
    <row r="119">
      <c r="A119" t="inlineStr"/>
      <c r="B119" t="inlineStr">
        <is>
          <t>2025-08-04 00:00:00</t>
        </is>
      </c>
      <c r="C119" t="inlineStr"/>
      <c r="D119" t="inlineStr">
        <is>
          <t>ATT - PAYMENT 31100208812708.00</t>
        </is>
      </c>
      <c r="E119" t="inlineStr"/>
      <c r="F119" t="inlineStr">
        <is>
          <t>0</t>
        </is>
      </c>
      <c r="G119" t="n">
        <v>-177.97</v>
      </c>
    </row>
    <row r="120">
      <c r="A120" t="inlineStr"/>
      <c r="B120" t="inlineStr">
        <is>
          <t>2025-06-03 00:00:00</t>
        </is>
      </c>
      <c r="C120" t="inlineStr"/>
      <c r="D120" t="inlineStr">
        <is>
          <t>ATT - Payment 31100209594707.00</t>
        </is>
      </c>
      <c r="E120" t="inlineStr"/>
      <c r="F120" t="inlineStr">
        <is>
          <t>0</t>
        </is>
      </c>
      <c r="G120" t="n">
        <v>-177.97</v>
      </c>
    </row>
    <row r="121">
      <c r="A121" t="inlineStr"/>
      <c r="B121" t="inlineStr">
        <is>
          <t>2025-03-27 00:00:00</t>
        </is>
      </c>
      <c r="C121" t="inlineStr"/>
      <c r="D121" t="inlineStr">
        <is>
          <t>Barclaycard</t>
        </is>
      </c>
      <c r="E121" t="inlineStr"/>
      <c r="F121" t="inlineStr">
        <is>
          <t>0</t>
        </is>
      </c>
      <c r="G121" t="n">
        <v>-3000</v>
      </c>
    </row>
    <row r="122">
      <c r="A122" t="inlineStr"/>
      <c r="B122" t="inlineStr">
        <is>
          <t>2025-03-10 00:00:00</t>
        </is>
      </c>
      <c r="C122" t="inlineStr"/>
      <c r="D122" t="inlineStr">
        <is>
          <t>Barclaycard</t>
        </is>
      </c>
      <c r="E122" t="inlineStr"/>
      <c r="F122" t="inlineStr">
        <is>
          <t>0</t>
        </is>
      </c>
      <c r="G122" t="n">
        <v>-2100</v>
      </c>
    </row>
    <row r="123">
      <c r="A123" t="inlineStr"/>
      <c r="B123" t="inlineStr">
        <is>
          <t>2025-10-16 00:00:00</t>
        </is>
      </c>
      <c r="C123" t="inlineStr"/>
      <c r="D123" t="inlineStr">
        <is>
          <t>Barclaycard</t>
        </is>
      </c>
      <c r="E123" t="inlineStr"/>
      <c r="F123" t="inlineStr">
        <is>
          <t>0</t>
        </is>
      </c>
      <c r="G123" t="n">
        <v>-2468.92</v>
      </c>
    </row>
    <row r="124">
      <c r="A124" t="inlineStr"/>
      <c r="B124" t="inlineStr">
        <is>
          <t>2025-12-30 00:00:00</t>
        </is>
      </c>
      <c r="C124" t="inlineStr"/>
      <c r="D124" t="inlineStr">
        <is>
          <t>Barclaycard</t>
        </is>
      </c>
      <c r="E124" t="inlineStr"/>
      <c r="F124" t="inlineStr">
        <is>
          <t>0</t>
        </is>
      </c>
      <c r="G124" t="n">
        <v>-2000</v>
      </c>
    </row>
    <row r="125">
      <c r="A125" t="inlineStr"/>
      <c r="B125" t="inlineStr">
        <is>
          <t>2025-09-30 00:00:00</t>
        </is>
      </c>
      <c r="C125" t="inlineStr"/>
      <c r="D125" t="inlineStr">
        <is>
          <t>Barclaycard</t>
        </is>
      </c>
      <c r="E125" t="inlineStr"/>
      <c r="F125" t="inlineStr">
        <is>
          <t>0</t>
        </is>
      </c>
      <c r="G125" t="n">
        <v>-3194.12</v>
      </c>
    </row>
    <row r="126">
      <c r="A126" t="inlineStr"/>
      <c r="B126" t="inlineStr">
        <is>
          <t>2025-04-21 00:00:00</t>
        </is>
      </c>
      <c r="C126" t="inlineStr"/>
      <c r="D126" t="inlineStr">
        <is>
          <t>Barclaycard</t>
        </is>
      </c>
      <c r="E126" t="inlineStr"/>
      <c r="F126" t="inlineStr">
        <is>
          <t>0</t>
        </is>
      </c>
      <c r="G126" t="n">
        <v>-3000</v>
      </c>
    </row>
    <row r="127">
      <c r="A127" t="inlineStr"/>
      <c r="B127" t="inlineStr">
        <is>
          <t>2025-07-29 00:00:00</t>
        </is>
      </c>
      <c r="C127" t="inlineStr"/>
      <c r="D127" t="inlineStr">
        <is>
          <t>Barclaycard</t>
        </is>
      </c>
      <c r="E127" t="inlineStr"/>
      <c r="F127" t="inlineStr">
        <is>
          <t>0</t>
        </is>
      </c>
      <c r="G127" t="n">
        <v>-2000</v>
      </c>
    </row>
    <row r="128">
      <c r="A128" t="inlineStr"/>
      <c r="B128" t="inlineStr">
        <is>
          <t>2025-05-16 00:00:00</t>
        </is>
      </c>
      <c r="C128" t="inlineStr"/>
      <c r="D128" t="inlineStr">
        <is>
          <t>Barclaycard</t>
        </is>
      </c>
      <c r="E128" t="inlineStr"/>
      <c r="F128" t="inlineStr">
        <is>
          <t>0</t>
        </is>
      </c>
      <c r="G128" t="n">
        <v>-4000</v>
      </c>
    </row>
    <row r="129">
      <c r="A129" t="inlineStr"/>
      <c r="B129" t="inlineStr">
        <is>
          <t>2025-08-22 00:00:00</t>
        </is>
      </c>
      <c r="C129" t="inlineStr"/>
      <c r="D129" t="inlineStr">
        <is>
          <t>Barclaycard</t>
        </is>
      </c>
      <c r="E129" t="inlineStr"/>
      <c r="F129" t="inlineStr">
        <is>
          <t>0</t>
        </is>
      </c>
      <c r="G129" t="n">
        <v>-2500</v>
      </c>
    </row>
    <row r="130">
      <c r="A130" t="inlineStr"/>
      <c r="B130" t="inlineStr">
        <is>
          <t>2025-09-04 00:00:00</t>
        </is>
      </c>
      <c r="C130" t="inlineStr"/>
      <c r="D130" t="inlineStr">
        <is>
          <t>Barclaycard</t>
        </is>
      </c>
      <c r="E130" t="inlineStr"/>
      <c r="F130" t="inlineStr">
        <is>
          <t>0</t>
        </is>
      </c>
      <c r="G130" t="n">
        <v>-1863.13</v>
      </c>
    </row>
    <row r="131">
      <c r="A131" t="inlineStr"/>
      <c r="B131" t="inlineStr">
        <is>
          <t>2025-06-05 00:00:00</t>
        </is>
      </c>
      <c r="C131" t="inlineStr"/>
      <c r="D131" t="inlineStr">
        <is>
          <t>Barclaycard</t>
        </is>
      </c>
      <c r="E131" t="inlineStr"/>
      <c r="F131" t="inlineStr">
        <is>
          <t>0</t>
        </is>
      </c>
      <c r="G131" t="n">
        <v>-4000</v>
      </c>
    </row>
    <row r="132">
      <c r="A132" t="inlineStr"/>
      <c r="B132" t="inlineStr">
        <is>
          <t>2025-05-16 00:00:00</t>
        </is>
      </c>
      <c r="C132" t="inlineStr"/>
      <c r="D132" t="inlineStr">
        <is>
          <t>Citi Card</t>
        </is>
      </c>
      <c r="E132" t="inlineStr"/>
      <c r="F132" t="inlineStr">
        <is>
          <t>0</t>
        </is>
      </c>
      <c r="G132" t="n">
        <v>-712.16</v>
      </c>
    </row>
    <row r="133">
      <c r="A133" t="inlineStr"/>
      <c r="B133" t="inlineStr">
        <is>
          <t>2025-09-30 00:00:00</t>
        </is>
      </c>
      <c r="C133" t="inlineStr"/>
      <c r="D133" t="inlineStr">
        <is>
          <t>Citi Card</t>
        </is>
      </c>
      <c r="E133" t="inlineStr"/>
      <c r="F133" t="inlineStr">
        <is>
          <t>0</t>
        </is>
      </c>
      <c r="G133" t="n">
        <v>-588.5</v>
      </c>
    </row>
    <row r="134">
      <c r="A134" t="inlineStr"/>
      <c r="B134" t="inlineStr">
        <is>
          <t>2025-02-18 00:00:00</t>
        </is>
      </c>
      <c r="C134" t="inlineStr"/>
      <c r="D134" t="inlineStr">
        <is>
          <t>Citi Card</t>
        </is>
      </c>
      <c r="E134" t="inlineStr"/>
      <c r="F134" t="inlineStr">
        <is>
          <t>0</t>
        </is>
      </c>
      <c r="G134" t="n">
        <v>-1653.18</v>
      </c>
    </row>
    <row r="135">
      <c r="A135" t="inlineStr"/>
      <c r="B135" t="inlineStr">
        <is>
          <t>2025-01-14 00:00:00</t>
        </is>
      </c>
      <c r="C135" t="inlineStr"/>
      <c r="D135" t="inlineStr">
        <is>
          <t>Citi Card</t>
        </is>
      </c>
      <c r="E135" t="inlineStr"/>
      <c r="F135" t="inlineStr">
        <is>
          <t>0</t>
        </is>
      </c>
      <c r="G135" t="n">
        <v>-607.46</v>
      </c>
    </row>
    <row r="136">
      <c r="A136" t="inlineStr"/>
      <c r="B136" t="inlineStr">
        <is>
          <t>2025-08-22 00:00:00</t>
        </is>
      </c>
      <c r="C136" t="inlineStr"/>
      <c r="D136" t="inlineStr">
        <is>
          <t>Citi Card</t>
        </is>
      </c>
      <c r="E136" t="inlineStr"/>
      <c r="F136" t="inlineStr">
        <is>
          <t>0</t>
        </is>
      </c>
      <c r="G136" t="n">
        <v>-1217.87</v>
      </c>
    </row>
    <row r="137">
      <c r="A137" t="inlineStr"/>
      <c r="B137" t="inlineStr">
        <is>
          <t>2025-12-03 00:00:00</t>
        </is>
      </c>
      <c r="C137" t="inlineStr"/>
      <c r="D137" t="inlineStr">
        <is>
          <t>Citi Card</t>
        </is>
      </c>
      <c r="E137" t="inlineStr"/>
      <c r="F137" t="inlineStr">
        <is>
          <t>0</t>
        </is>
      </c>
      <c r="G137" t="n">
        <v>-1099.67</v>
      </c>
    </row>
    <row r="138">
      <c r="A138" t="inlineStr"/>
      <c r="B138" t="inlineStr">
        <is>
          <t>2025-10-16 00:00:00</t>
        </is>
      </c>
      <c r="C138" t="inlineStr"/>
      <c r="D138" t="inlineStr">
        <is>
          <t>Citi Card</t>
        </is>
      </c>
      <c r="E138" t="inlineStr"/>
      <c r="F138" t="inlineStr">
        <is>
          <t>0</t>
        </is>
      </c>
      <c r="G138" t="n">
        <v>-1135.04</v>
      </c>
    </row>
    <row r="139">
      <c r="A139" t="inlineStr"/>
      <c r="B139" t="inlineStr">
        <is>
          <t>2025-12-15 00:00:00</t>
        </is>
      </c>
      <c r="C139" t="inlineStr"/>
      <c r="D139" t="inlineStr">
        <is>
          <t>Citi Card</t>
        </is>
      </c>
      <c r="E139" t="inlineStr"/>
      <c r="F139" t="inlineStr">
        <is>
          <t>0</t>
        </is>
      </c>
      <c r="G139" t="n">
        <v>-505.73</v>
      </c>
    </row>
    <row r="140">
      <c r="A140" t="inlineStr"/>
      <c r="B140" t="inlineStr">
        <is>
          <t>2025-09-04 00:00:00</t>
        </is>
      </c>
      <c r="C140" t="inlineStr"/>
      <c r="D140" t="inlineStr">
        <is>
          <t>Citi Card</t>
        </is>
      </c>
      <c r="E140" t="inlineStr"/>
      <c r="F140" t="inlineStr">
        <is>
          <t>0</t>
        </is>
      </c>
      <c r="G140" t="n">
        <v>-697.98</v>
      </c>
    </row>
    <row r="141">
      <c r="A141" t="inlineStr"/>
      <c r="B141" t="inlineStr">
        <is>
          <t>2025-03-19 00:00:00</t>
        </is>
      </c>
      <c r="C141" t="inlineStr"/>
      <c r="D141" t="inlineStr">
        <is>
          <t>Citi Card</t>
        </is>
      </c>
      <c r="E141" t="inlineStr"/>
      <c r="F141" t="inlineStr">
        <is>
          <t>0</t>
        </is>
      </c>
      <c r="G141" t="n">
        <v>-354.61</v>
      </c>
    </row>
    <row r="142">
      <c r="A142" t="inlineStr"/>
      <c r="B142" t="inlineStr">
        <is>
          <t>2025-04-21 00:00:00</t>
        </is>
      </c>
      <c r="C142" t="inlineStr"/>
      <c r="D142" t="inlineStr">
        <is>
          <t>Citi Card</t>
        </is>
      </c>
      <c r="E142" t="inlineStr"/>
      <c r="F142" t="inlineStr">
        <is>
          <t>0</t>
        </is>
      </c>
      <c r="G142" t="n">
        <v>-1475.87</v>
      </c>
    </row>
    <row r="143">
      <c r="A143" t="inlineStr"/>
      <c r="B143" t="inlineStr">
        <is>
          <t>2025-05-08 00:00:00</t>
        </is>
      </c>
      <c r="C143" t="inlineStr"/>
      <c r="D143" t="inlineStr">
        <is>
          <t>Citi Card</t>
        </is>
      </c>
      <c r="E143" t="inlineStr"/>
      <c r="F143" t="inlineStr">
        <is>
          <t>0</t>
        </is>
      </c>
      <c r="G143" t="n">
        <v>-747.8099999999999</v>
      </c>
    </row>
    <row r="144">
      <c r="A144" t="inlineStr"/>
      <c r="B144" t="inlineStr">
        <is>
          <t>2025-03-10 00:00:00</t>
        </is>
      </c>
      <c r="C144" t="inlineStr"/>
      <c r="D144" t="inlineStr">
        <is>
          <t>Citi Card</t>
        </is>
      </c>
      <c r="E144" t="inlineStr"/>
      <c r="F144" t="inlineStr">
        <is>
          <t>0</t>
        </is>
      </c>
      <c r="G144" t="n">
        <v>-1226.19</v>
      </c>
    </row>
    <row r="145">
      <c r="A145" t="inlineStr"/>
      <c r="B145" t="inlineStr">
        <is>
          <t>2025-07-14 00:00:00</t>
        </is>
      </c>
      <c r="C145" t="inlineStr"/>
      <c r="D145" t="inlineStr">
        <is>
          <t>Citi Card</t>
        </is>
      </c>
      <c r="E145" t="inlineStr"/>
      <c r="F145" t="inlineStr">
        <is>
          <t>0</t>
        </is>
      </c>
      <c r="G145" t="n">
        <v>-1800.15</v>
      </c>
    </row>
    <row r="146">
      <c r="A146" t="inlineStr"/>
      <c r="B146" t="inlineStr">
        <is>
          <t>2025-12-30 00:00:00</t>
        </is>
      </c>
      <c r="C146" t="inlineStr"/>
      <c r="D146" t="inlineStr">
        <is>
          <t>Citi Card</t>
        </is>
      </c>
      <c r="E146" t="inlineStr"/>
      <c r="F146" t="inlineStr">
        <is>
          <t>0</t>
        </is>
      </c>
      <c r="G146" t="n">
        <v>-1304.38</v>
      </c>
    </row>
    <row r="147">
      <c r="A147" t="inlineStr"/>
      <c r="B147" t="inlineStr">
        <is>
          <t>2025-07-29 00:00:00</t>
        </is>
      </c>
      <c r="C147" t="inlineStr"/>
      <c r="D147" t="inlineStr">
        <is>
          <t>Citi Card</t>
        </is>
      </c>
      <c r="E147" t="inlineStr"/>
      <c r="F147" t="inlineStr">
        <is>
          <t>0</t>
        </is>
      </c>
      <c r="G147" t="n">
        <v>-1704.61</v>
      </c>
    </row>
    <row r="148">
      <c r="A148" t="inlineStr"/>
      <c r="B148" t="inlineStr">
        <is>
          <t>2025-01-23 00:00:00</t>
        </is>
      </c>
      <c r="C148" t="inlineStr"/>
      <c r="D148" t="inlineStr">
        <is>
          <t>Gov Planet</t>
        </is>
      </c>
      <c r="E148" t="inlineStr"/>
      <c r="F148" t="inlineStr">
        <is>
          <t>0</t>
        </is>
      </c>
      <c r="G148" t="n">
        <v>-465.75</v>
      </c>
    </row>
    <row r="149">
      <c r="A149" t="inlineStr"/>
      <c r="B149" t="inlineStr">
        <is>
          <t>2025-01-31 00:00:00</t>
        </is>
      </c>
      <c r="C149" t="inlineStr"/>
      <c r="D149" t="inlineStr">
        <is>
          <t>Gov Planet</t>
        </is>
      </c>
      <c r="E149" t="inlineStr"/>
      <c r="F149" t="inlineStr">
        <is>
          <t>0</t>
        </is>
      </c>
      <c r="G149" t="n">
        <v>-4893.25</v>
      </c>
    </row>
    <row r="150">
      <c r="A150" t="inlineStr"/>
      <c r="B150" t="inlineStr">
        <is>
          <t>2025-02-26 00:00:00</t>
        </is>
      </c>
      <c r="C150" t="inlineStr"/>
      <c r="D150" t="inlineStr">
        <is>
          <t>Gov Planet</t>
        </is>
      </c>
      <c r="E150" t="inlineStr"/>
      <c r="F150" t="inlineStr">
        <is>
          <t>0</t>
        </is>
      </c>
      <c r="G150" t="n">
        <v>-1265</v>
      </c>
    </row>
    <row r="151">
      <c r="A151" t="inlineStr"/>
      <c r="B151" t="inlineStr">
        <is>
          <t>2025-03-05 00:00:00</t>
        </is>
      </c>
      <c r="C151" t="inlineStr"/>
      <c r="D151" t="inlineStr">
        <is>
          <t>Gov Planet</t>
        </is>
      </c>
      <c r="E151" t="inlineStr"/>
      <c r="F151" t="inlineStr">
        <is>
          <t>0</t>
        </is>
      </c>
      <c r="G151" t="n">
        <v>-1552.5</v>
      </c>
    </row>
    <row r="152">
      <c r="A152" t="inlineStr"/>
      <c r="B152" t="inlineStr">
        <is>
          <t>2025-03-12 00:00:00</t>
        </is>
      </c>
      <c r="C152" t="inlineStr"/>
      <c r="D152" t="inlineStr">
        <is>
          <t>Gov Planet</t>
        </is>
      </c>
      <c r="E152" t="inlineStr"/>
      <c r="F152" t="inlineStr">
        <is>
          <t>0</t>
        </is>
      </c>
      <c r="G152" t="n">
        <v>-9623.190000000001</v>
      </c>
    </row>
    <row r="153">
      <c r="A153" t="inlineStr"/>
      <c r="B153" t="inlineStr">
        <is>
          <t>2025-03-19 00:00:00</t>
        </is>
      </c>
      <c r="C153" t="inlineStr"/>
      <c r="D153" t="inlineStr">
        <is>
          <t>Gov Planet</t>
        </is>
      </c>
      <c r="E153" t="inlineStr"/>
      <c r="F153" t="inlineStr">
        <is>
          <t>0</t>
        </is>
      </c>
      <c r="G153" t="n">
        <v>-1811.25</v>
      </c>
    </row>
    <row r="154">
      <c r="A154" t="inlineStr"/>
      <c r="B154" t="inlineStr">
        <is>
          <t>2025-03-27 00:00:00</t>
        </is>
      </c>
      <c r="C154" t="inlineStr"/>
      <c r="D154" t="inlineStr">
        <is>
          <t>Gov Planet</t>
        </is>
      </c>
      <c r="E154" t="inlineStr"/>
      <c r="F154" t="inlineStr">
        <is>
          <t>0</t>
        </is>
      </c>
      <c r="G154" t="n">
        <v>-10235</v>
      </c>
    </row>
    <row r="155">
      <c r="A155" t="inlineStr"/>
      <c r="B155" t="inlineStr">
        <is>
          <t>2025-04-03 00:00:00</t>
        </is>
      </c>
      <c r="C155" t="inlineStr"/>
      <c r="D155" t="inlineStr">
        <is>
          <t>Gov Planet</t>
        </is>
      </c>
      <c r="E155" t="inlineStr"/>
      <c r="F155" t="inlineStr">
        <is>
          <t>0</t>
        </is>
      </c>
      <c r="G155" t="n">
        <v>-3340.75</v>
      </c>
    </row>
    <row r="156">
      <c r="A156" t="inlineStr"/>
      <c r="B156" t="inlineStr">
        <is>
          <t>2025-04-10 00:00:00</t>
        </is>
      </c>
      <c r="C156" t="inlineStr"/>
      <c r="D156" t="inlineStr">
        <is>
          <t>Gov Planet</t>
        </is>
      </c>
      <c r="E156" t="inlineStr"/>
      <c r="F156" t="inlineStr">
        <is>
          <t>0</t>
        </is>
      </c>
      <c r="G156" t="n">
        <v>-2075.75</v>
      </c>
    </row>
    <row r="157">
      <c r="A157" t="inlineStr"/>
      <c r="B157" t="inlineStr">
        <is>
          <t>2025-04-16 00:00:00</t>
        </is>
      </c>
      <c r="C157" t="inlineStr"/>
      <c r="D157" t="inlineStr">
        <is>
          <t>Gov Planet</t>
        </is>
      </c>
      <c r="E157" t="inlineStr"/>
      <c r="F157" t="inlineStr">
        <is>
          <t>0</t>
        </is>
      </c>
      <c r="G157" t="n">
        <v>-2403.5</v>
      </c>
    </row>
    <row r="158">
      <c r="A158" t="inlineStr"/>
      <c r="B158" t="inlineStr">
        <is>
          <t>2025-05-28 00:00:00</t>
        </is>
      </c>
      <c r="C158" t="inlineStr"/>
      <c r="D158" t="inlineStr">
        <is>
          <t>Gov Planet</t>
        </is>
      </c>
      <c r="E158" t="inlineStr"/>
      <c r="F158" t="inlineStr">
        <is>
          <t>0</t>
        </is>
      </c>
      <c r="G158" t="n">
        <v>-5157.75</v>
      </c>
    </row>
    <row r="159">
      <c r="A159" t="inlineStr"/>
      <c r="B159" t="inlineStr">
        <is>
          <t>2025-06-16 00:00:00</t>
        </is>
      </c>
      <c r="C159" t="inlineStr"/>
      <c r="D159" t="inlineStr">
        <is>
          <t>Gov Planet</t>
        </is>
      </c>
      <c r="E159" t="inlineStr"/>
      <c r="F159" t="inlineStr">
        <is>
          <t>0</t>
        </is>
      </c>
      <c r="G159" t="n">
        <v>-391</v>
      </c>
    </row>
    <row r="160">
      <c r="A160" t="inlineStr"/>
      <c r="B160" t="inlineStr">
        <is>
          <t>2025-06-16 00:00:00</t>
        </is>
      </c>
      <c r="C160" t="inlineStr"/>
      <c r="D160" t="inlineStr">
        <is>
          <t>Gov Planet</t>
        </is>
      </c>
      <c r="E160" t="inlineStr"/>
      <c r="F160" t="inlineStr">
        <is>
          <t>0</t>
        </is>
      </c>
      <c r="G160" t="n">
        <v>-391</v>
      </c>
    </row>
    <row r="161">
      <c r="A161" t="inlineStr"/>
      <c r="B161" t="inlineStr">
        <is>
          <t>2025-06-20 00:00:00</t>
        </is>
      </c>
      <c r="C161" t="inlineStr"/>
      <c r="D161" t="inlineStr">
        <is>
          <t>Gov Planet</t>
        </is>
      </c>
      <c r="E161" t="inlineStr"/>
      <c r="F161" t="inlineStr">
        <is>
          <t>0</t>
        </is>
      </c>
      <c r="G161" t="n">
        <v>-626.75</v>
      </c>
    </row>
    <row r="162">
      <c r="A162" t="inlineStr"/>
      <c r="B162" t="inlineStr">
        <is>
          <t>2025-06-26 00:00:00</t>
        </is>
      </c>
      <c r="C162" t="inlineStr"/>
      <c r="D162" t="inlineStr">
        <is>
          <t>Gov Planet</t>
        </is>
      </c>
      <c r="E162" t="inlineStr"/>
      <c r="F162" t="inlineStr">
        <is>
          <t>0</t>
        </is>
      </c>
      <c r="G162" t="n">
        <v>-2093</v>
      </c>
    </row>
    <row r="163">
      <c r="A163" t="inlineStr"/>
      <c r="B163" t="inlineStr">
        <is>
          <t>2025-07-16 00:00:00</t>
        </is>
      </c>
      <c r="C163" t="inlineStr"/>
      <c r="D163" t="inlineStr">
        <is>
          <t>Gov Planet</t>
        </is>
      </c>
      <c r="E163" t="inlineStr"/>
      <c r="F163" t="inlineStr">
        <is>
          <t>0</t>
        </is>
      </c>
      <c r="G163" t="n">
        <v>-13202</v>
      </c>
    </row>
    <row r="164">
      <c r="A164" t="inlineStr"/>
      <c r="B164" t="inlineStr">
        <is>
          <t>2025-08-01 00:00:00</t>
        </is>
      </c>
      <c r="C164" t="inlineStr"/>
      <c r="D164" t="inlineStr">
        <is>
          <t>Gov Planet</t>
        </is>
      </c>
      <c r="E164" t="inlineStr"/>
      <c r="F164" t="inlineStr">
        <is>
          <t>0</t>
        </is>
      </c>
      <c r="G164" t="n">
        <v>-1679</v>
      </c>
    </row>
    <row r="165">
      <c r="A165" t="inlineStr"/>
      <c r="B165" t="inlineStr">
        <is>
          <t>2025-08-07 00:00:00</t>
        </is>
      </c>
      <c r="C165" t="inlineStr"/>
      <c r="D165" t="inlineStr">
        <is>
          <t>Gov Planet</t>
        </is>
      </c>
      <c r="E165" t="inlineStr"/>
      <c r="F165" t="inlineStr">
        <is>
          <t>0</t>
        </is>
      </c>
      <c r="G165" t="n">
        <v>-983.25</v>
      </c>
    </row>
    <row r="166">
      <c r="A166" t="inlineStr"/>
      <c r="B166" t="inlineStr">
        <is>
          <t>2025-08-14 00:00:00</t>
        </is>
      </c>
      <c r="C166" t="inlineStr"/>
      <c r="D166" t="inlineStr">
        <is>
          <t>Gov Planet</t>
        </is>
      </c>
      <c r="E166" t="inlineStr"/>
      <c r="F166" t="inlineStr">
        <is>
          <t>0</t>
        </is>
      </c>
      <c r="G166" t="n">
        <v>-667</v>
      </c>
    </row>
    <row r="167">
      <c r="A167" t="inlineStr"/>
      <c r="B167" t="inlineStr">
        <is>
          <t>2025-08-21 00:00:00</t>
        </is>
      </c>
      <c r="C167" t="inlineStr"/>
      <c r="D167" t="inlineStr">
        <is>
          <t>Gov Planet</t>
        </is>
      </c>
      <c r="E167" t="inlineStr"/>
      <c r="F167" t="inlineStr">
        <is>
          <t>0</t>
        </is>
      </c>
      <c r="G167" t="n">
        <v>-253</v>
      </c>
    </row>
    <row r="168">
      <c r="A168" t="inlineStr"/>
      <c r="B168" t="inlineStr">
        <is>
          <t>2025-10-02 00:00:00</t>
        </is>
      </c>
      <c r="C168" t="inlineStr"/>
      <c r="D168" t="inlineStr">
        <is>
          <t>Gov Planet</t>
        </is>
      </c>
      <c r="E168" t="inlineStr"/>
      <c r="F168" t="inlineStr">
        <is>
          <t>0</t>
        </is>
      </c>
      <c r="G168" t="n">
        <v>-264.5</v>
      </c>
    </row>
    <row r="169">
      <c r="A169" t="inlineStr"/>
      <c r="B169" t="inlineStr">
        <is>
          <t>2025-10-08 00:00:00</t>
        </is>
      </c>
      <c r="C169" t="inlineStr"/>
      <c r="D169" t="inlineStr">
        <is>
          <t>Gov Planet</t>
        </is>
      </c>
      <c r="E169" t="inlineStr"/>
      <c r="F169" t="inlineStr">
        <is>
          <t>0</t>
        </is>
      </c>
      <c r="G169" t="n">
        <v>-3064.75</v>
      </c>
    </row>
    <row r="170">
      <c r="A170" t="inlineStr"/>
      <c r="B170" t="inlineStr">
        <is>
          <t>2025-05-01 00:00:00</t>
        </is>
      </c>
      <c r="C170" t="inlineStr"/>
      <c r="D170" t="inlineStr">
        <is>
          <t>Withdrawal</t>
        </is>
      </c>
      <c r="E170" t="inlineStr"/>
      <c r="F170" t="inlineStr">
        <is>
          <t>0</t>
        </is>
      </c>
      <c r="G170" t="n">
        <v>-764.75</v>
      </c>
    </row>
    <row r="171">
      <c r="A171" t="inlineStr"/>
      <c r="B171" t="inlineStr">
        <is>
          <t>2025-12-04 00:00:00</t>
        </is>
      </c>
      <c r="C171" t="inlineStr"/>
      <c r="D171" t="inlineStr">
        <is>
          <t>Withdrawal</t>
        </is>
      </c>
      <c r="E171" t="inlineStr"/>
      <c r="F171" t="inlineStr">
        <is>
          <t>0</t>
        </is>
      </c>
      <c r="G171" t="n">
        <v>-1408.75</v>
      </c>
    </row>
    <row r="172">
      <c r="A172" t="inlineStr"/>
      <c r="B172" t="inlineStr">
        <is>
          <t>2025-12-10 00:00:00</t>
        </is>
      </c>
      <c r="C172" t="inlineStr"/>
      <c r="D172" t="inlineStr">
        <is>
          <t>Withdrawal</t>
        </is>
      </c>
      <c r="E172" t="inlineStr"/>
      <c r="F172" t="inlineStr">
        <is>
          <t>0</t>
        </is>
      </c>
      <c r="G172" t="n">
        <v>-126.5</v>
      </c>
    </row>
    <row r="173">
      <c r="A173" t="inlineStr"/>
      <c r="B173" t="inlineStr">
        <is>
          <t>2025-01-31 00:00:00</t>
        </is>
      </c>
      <c r="C173" t="inlineStr"/>
      <c r="D173" t="inlineStr">
        <is>
          <t>Wire Fee</t>
        </is>
      </c>
      <c r="E173" t="inlineStr"/>
      <c r="F173" t="inlineStr">
        <is>
          <t>0</t>
        </is>
      </c>
      <c r="G173" t="n">
        <v>-20</v>
      </c>
    </row>
    <row r="174">
      <c r="A174" t="inlineStr"/>
      <c r="B174" t="inlineStr">
        <is>
          <t>2025-03-12 00:00:00</t>
        </is>
      </c>
      <c r="C174" t="inlineStr"/>
      <c r="D174" t="inlineStr">
        <is>
          <t>Wire Fee</t>
        </is>
      </c>
      <c r="E174" t="inlineStr"/>
      <c r="F174" t="inlineStr">
        <is>
          <t>0</t>
        </is>
      </c>
      <c r="G174" t="n">
        <v>-20</v>
      </c>
    </row>
    <row r="175">
      <c r="A175" t="inlineStr"/>
      <c r="B175" t="inlineStr">
        <is>
          <t>2025-03-19 00:00:00</t>
        </is>
      </c>
      <c r="C175" t="inlineStr"/>
      <c r="D175" t="inlineStr">
        <is>
          <t>Wire Fee</t>
        </is>
      </c>
      <c r="E175" t="inlineStr"/>
      <c r="F175" t="inlineStr">
        <is>
          <t>0</t>
        </is>
      </c>
      <c r="G175" t="n">
        <v>-20</v>
      </c>
    </row>
    <row r="176">
      <c r="A176" t="inlineStr"/>
      <c r="B176" t="inlineStr">
        <is>
          <t>2025-03-27 00:00:00</t>
        </is>
      </c>
      <c r="C176" t="inlineStr"/>
      <c r="D176" t="inlineStr">
        <is>
          <t>Wire Fee</t>
        </is>
      </c>
      <c r="E176" t="inlineStr"/>
      <c r="F176" t="inlineStr">
        <is>
          <t>0</t>
        </is>
      </c>
      <c r="G176" t="n">
        <v>-20</v>
      </c>
    </row>
    <row r="177">
      <c r="A177" t="inlineStr"/>
      <c r="B177" t="inlineStr">
        <is>
          <t>2025-04-10 00:00:00</t>
        </is>
      </c>
      <c r="C177" t="inlineStr"/>
      <c r="D177" t="inlineStr">
        <is>
          <t>Wire Fee</t>
        </is>
      </c>
      <c r="E177" t="inlineStr"/>
      <c r="F177" t="inlineStr">
        <is>
          <t>0</t>
        </is>
      </c>
      <c r="G177" t="n">
        <v>-20</v>
      </c>
    </row>
    <row r="178">
      <c r="A178" t="inlineStr"/>
      <c r="B178" t="inlineStr">
        <is>
          <t>2025-04-16 00:00:00</t>
        </is>
      </c>
      <c r="C178" t="inlineStr"/>
      <c r="D178" t="inlineStr">
        <is>
          <t>Wire Fee</t>
        </is>
      </c>
      <c r="E178" t="inlineStr"/>
      <c r="F178" t="inlineStr">
        <is>
          <t>0</t>
        </is>
      </c>
      <c r="G178" t="n">
        <v>-20</v>
      </c>
    </row>
    <row r="179">
      <c r="A179" t="inlineStr"/>
      <c r="B179" t="inlineStr">
        <is>
          <t>2025-05-28 00:00:00</t>
        </is>
      </c>
      <c r="C179" t="inlineStr"/>
      <c r="D179" t="inlineStr">
        <is>
          <t>Wire Fee</t>
        </is>
      </c>
      <c r="E179" t="inlineStr"/>
      <c r="F179" t="inlineStr">
        <is>
          <t>0</t>
        </is>
      </c>
      <c r="G179" t="n">
        <v>-20</v>
      </c>
    </row>
    <row r="180">
      <c r="A180" t="inlineStr"/>
      <c r="B180" t="inlineStr">
        <is>
          <t>2025-06-16 00:00:00</t>
        </is>
      </c>
      <c r="C180" t="inlineStr"/>
      <c r="D180" t="inlineStr">
        <is>
          <t>Wire Fee</t>
        </is>
      </c>
      <c r="E180" t="inlineStr"/>
      <c r="F180" t="inlineStr">
        <is>
          <t>0</t>
        </is>
      </c>
      <c r="G180" t="n">
        <v>-20</v>
      </c>
    </row>
    <row r="181">
      <c r="A181" t="inlineStr"/>
      <c r="B181" t="inlineStr">
        <is>
          <t>2025-06-20 00:00:00</t>
        </is>
      </c>
      <c r="C181" t="inlineStr"/>
      <c r="D181" t="inlineStr">
        <is>
          <t>Wire Fee</t>
        </is>
      </c>
      <c r="E181" t="inlineStr"/>
      <c r="F181" t="inlineStr">
        <is>
          <t>0</t>
        </is>
      </c>
      <c r="G181" t="n">
        <v>-20</v>
      </c>
    </row>
    <row r="182">
      <c r="A182" t="inlineStr"/>
      <c r="B182" t="inlineStr">
        <is>
          <t>2025-06-26 00:00:00</t>
        </is>
      </c>
      <c r="C182" t="inlineStr"/>
      <c r="D182" t="inlineStr">
        <is>
          <t>Wire Fee</t>
        </is>
      </c>
      <c r="E182" t="inlineStr"/>
      <c r="F182" t="inlineStr">
        <is>
          <t>0</t>
        </is>
      </c>
      <c r="G182" t="n">
        <v>-20</v>
      </c>
    </row>
    <row r="183">
      <c r="A183" t="inlineStr"/>
      <c r="B183" t="inlineStr">
        <is>
          <t>2025-08-07 00:00:00</t>
        </is>
      </c>
      <c r="C183" t="inlineStr"/>
      <c r="D183" t="inlineStr">
        <is>
          <t>Wire Fee</t>
        </is>
      </c>
      <c r="E183" t="inlineStr"/>
      <c r="F183" t="inlineStr">
        <is>
          <t>0</t>
        </is>
      </c>
      <c r="G183" t="n">
        <v>-20</v>
      </c>
    </row>
    <row r="184">
      <c r="A184" t="inlineStr"/>
      <c r="B184" t="inlineStr">
        <is>
          <t>2025-08-14 00:00:00</t>
        </is>
      </c>
      <c r="C184" t="inlineStr"/>
      <c r="D184" t="inlineStr">
        <is>
          <t>Wire Fee</t>
        </is>
      </c>
      <c r="E184" t="inlineStr"/>
      <c r="F184" t="inlineStr">
        <is>
          <t>0</t>
        </is>
      </c>
      <c r="G184" t="n">
        <v>-20</v>
      </c>
    </row>
    <row r="185">
      <c r="A185" t="inlineStr"/>
      <c r="B185" t="inlineStr">
        <is>
          <t>2025-08-21 00:00:00</t>
        </is>
      </c>
      <c r="C185" t="inlineStr"/>
      <c r="D185" t="inlineStr">
        <is>
          <t>Wire Fee</t>
        </is>
      </c>
      <c r="E185" t="inlineStr"/>
      <c r="F185" t="inlineStr">
        <is>
          <t>0</t>
        </is>
      </c>
      <c r="G185" t="n">
        <v>-20</v>
      </c>
    </row>
    <row r="186">
      <c r="A186" t="inlineStr"/>
      <c r="B186" t="inlineStr">
        <is>
          <t>2025-10-08 00:00:00</t>
        </is>
      </c>
      <c r="C186" t="inlineStr"/>
      <c r="D186" t="inlineStr">
        <is>
          <t>Wire Fee</t>
        </is>
      </c>
      <c r="E186" t="inlineStr"/>
      <c r="F186" t="inlineStr">
        <is>
          <t>0</t>
        </is>
      </c>
      <c r="G186" t="n">
        <v>-20</v>
      </c>
    </row>
    <row r="187">
      <c r="A187" t="inlineStr"/>
      <c r="B187" t="inlineStr">
        <is>
          <t>2025-12-10 00:00:00</t>
        </is>
      </c>
      <c r="C187" t="inlineStr"/>
      <c r="D187" t="inlineStr">
        <is>
          <t>Wire Fee</t>
        </is>
      </c>
      <c r="E187" t="inlineStr"/>
      <c r="F187" t="inlineStr">
        <is>
          <t>0</t>
        </is>
      </c>
      <c r="G187" t="n">
        <v>-20</v>
      </c>
    </row>
    <row r="188">
      <c r="A188" t="inlineStr"/>
      <c r="B188" t="inlineStr">
        <is>
          <t>2025-09-24 00:00:00</t>
        </is>
      </c>
      <c r="C188" t="inlineStr"/>
      <c r="D188" t="inlineStr">
        <is>
          <t>Ebay</t>
        </is>
      </c>
      <c r="E188" t="inlineStr"/>
      <c r="F188" t="inlineStr">
        <is>
          <t>0</t>
        </is>
      </c>
      <c r="G188" t="n">
        <v>-6.02</v>
      </c>
    </row>
    <row r="189">
      <c r="A189" t="inlineStr"/>
      <c r="B189" t="inlineStr">
        <is>
          <t>2025-09-24 00:00:00</t>
        </is>
      </c>
      <c r="C189" t="inlineStr"/>
      <c r="D189" t="inlineStr">
        <is>
          <t>Ebay</t>
        </is>
      </c>
      <c r="E189" t="inlineStr"/>
      <c r="F189" t="inlineStr">
        <is>
          <t>0</t>
        </is>
      </c>
      <c r="G189" t="n">
        <v>-5.02</v>
      </c>
    </row>
    <row r="190">
      <c r="A190" t="inlineStr"/>
      <c r="B190" t="inlineStr">
        <is>
          <t>2025-09-24 00:00:00</t>
        </is>
      </c>
      <c r="C190" t="inlineStr"/>
      <c r="D190" t="inlineStr">
        <is>
          <t>Ebay</t>
        </is>
      </c>
      <c r="E190" t="inlineStr"/>
      <c r="F190" t="inlineStr">
        <is>
          <t>0</t>
        </is>
      </c>
      <c r="G190" t="n">
        <v>-20.79</v>
      </c>
    </row>
    <row r="191">
      <c r="A191" t="inlineStr"/>
      <c r="B191" t="inlineStr">
        <is>
          <t>2025-09-24 00:00:00</t>
        </is>
      </c>
      <c r="C191" t="inlineStr"/>
      <c r="D191" t="inlineStr">
        <is>
          <t>Ebay</t>
        </is>
      </c>
      <c r="E191" t="inlineStr"/>
      <c r="F191" t="inlineStr">
        <is>
          <t>0</t>
        </is>
      </c>
      <c r="G191" t="n">
        <v>-6.34</v>
      </c>
    </row>
    <row r="192">
      <c r="A192" t="inlineStr"/>
      <c r="B192" t="inlineStr">
        <is>
          <t>2025-09-24 00:00:00</t>
        </is>
      </c>
      <c r="C192" t="inlineStr"/>
      <c r="D192" t="inlineStr">
        <is>
          <t>Ebay</t>
        </is>
      </c>
      <c r="E192" t="inlineStr"/>
      <c r="F192" t="inlineStr">
        <is>
          <t>0</t>
        </is>
      </c>
      <c r="G192" t="n">
        <v>-12.73</v>
      </c>
    </row>
    <row r="193">
      <c r="A193" t="inlineStr"/>
      <c r="B193" t="inlineStr">
        <is>
          <t>2025-09-24 00:00:00</t>
        </is>
      </c>
      <c r="C193" t="inlineStr"/>
      <c r="D193" t="inlineStr">
        <is>
          <t>Ebay</t>
        </is>
      </c>
      <c r="E193" t="inlineStr"/>
      <c r="F193" t="inlineStr">
        <is>
          <t>0</t>
        </is>
      </c>
      <c r="G193" t="n">
        <v>-14.14</v>
      </c>
    </row>
    <row r="194">
      <c r="A194" t="inlineStr"/>
      <c r="B194" t="inlineStr">
        <is>
          <t>2025-09-24 00:00:00</t>
        </is>
      </c>
      <c r="C194" t="inlineStr"/>
      <c r="D194" t="inlineStr">
        <is>
          <t>Ebay</t>
        </is>
      </c>
      <c r="E194" t="inlineStr"/>
      <c r="F194" t="inlineStr">
        <is>
          <t>0</t>
        </is>
      </c>
      <c r="G194" t="n">
        <v>-9.31</v>
      </c>
    </row>
    <row r="195">
      <c r="A195" t="inlineStr"/>
      <c r="B195" t="inlineStr">
        <is>
          <t>2025-09-24 00:00:00</t>
        </is>
      </c>
      <c r="C195" t="inlineStr"/>
      <c r="D195" t="inlineStr">
        <is>
          <t>Ebay</t>
        </is>
      </c>
      <c r="E195" t="inlineStr"/>
      <c r="F195" t="inlineStr">
        <is>
          <t>0</t>
        </is>
      </c>
      <c r="G195" t="n">
        <v>-9.390000000000001</v>
      </c>
    </row>
    <row r="196">
      <c r="A196" t="inlineStr"/>
      <c r="B196" t="inlineStr">
        <is>
          <t>2025-09-24 00:00:00</t>
        </is>
      </c>
      <c r="C196" t="inlineStr"/>
      <c r="D196" t="inlineStr">
        <is>
          <t>Ebay</t>
        </is>
      </c>
      <c r="E196" t="inlineStr"/>
      <c r="F196" t="inlineStr">
        <is>
          <t>0</t>
        </is>
      </c>
      <c r="G196" t="n">
        <v>-4.89</v>
      </c>
    </row>
    <row r="197">
      <c r="A197" t="inlineStr"/>
      <c r="B197" t="inlineStr">
        <is>
          <t>2025-09-24 00:00:00</t>
        </is>
      </c>
      <c r="C197" t="inlineStr"/>
      <c r="D197" t="inlineStr">
        <is>
          <t>Ebay</t>
        </is>
      </c>
      <c r="E197" t="inlineStr"/>
      <c r="F197" t="inlineStr">
        <is>
          <t>0</t>
        </is>
      </c>
      <c r="G197" t="n">
        <v>-13.28</v>
      </c>
    </row>
    <row r="198">
      <c r="A198" t="inlineStr"/>
      <c r="B198" t="inlineStr">
        <is>
          <t>2025-05-23 00:00:00</t>
        </is>
      </c>
      <c r="C198" t="inlineStr"/>
      <c r="D198" t="inlineStr">
        <is>
          <t>Withdrawal</t>
        </is>
      </c>
      <c r="E198" t="inlineStr"/>
      <c r="F198" t="inlineStr">
        <is>
          <t>0</t>
        </is>
      </c>
      <c r="G198" t="n">
        <v>-15</v>
      </c>
    </row>
    <row r="199">
      <c r="A199" t="inlineStr"/>
      <c r="B199" t="inlineStr">
        <is>
          <t>2025-03-16 00:00:00</t>
        </is>
      </c>
      <c r="C199" t="inlineStr"/>
      <c r="D199" t="inlineStr">
        <is>
          <t>Withdrawal</t>
        </is>
      </c>
      <c r="E199" t="inlineStr"/>
      <c r="F199" t="inlineStr">
        <is>
          <t>0</t>
        </is>
      </c>
      <c r="G199" t="n">
        <v>-10</v>
      </c>
    </row>
    <row r="200">
      <c r="A200" t="inlineStr"/>
      <c r="B200" t="inlineStr">
        <is>
          <t>2025-06-14 00:00:00</t>
        </is>
      </c>
      <c r="C200" t="inlineStr"/>
      <c r="D200" t="inlineStr">
        <is>
          <t>Withdrawal</t>
        </is>
      </c>
      <c r="E200" t="inlineStr"/>
      <c r="F200" t="inlineStr">
        <is>
          <t>0</t>
        </is>
      </c>
      <c r="G200" t="n">
        <v>-10</v>
      </c>
    </row>
    <row r="201">
      <c r="A201" t="inlineStr"/>
      <c r="B201" t="inlineStr">
        <is>
          <t>2025-10-01 00:00:00</t>
        </is>
      </c>
      <c r="C201" t="inlineStr"/>
      <c r="D201" t="inlineStr">
        <is>
          <t>SAN GABRIEL VALL FIREONLINEBILLPA - BILL PAYMT 51400500343724</t>
        </is>
      </c>
      <c r="E201" t="inlineStr"/>
      <c r="F201" t="inlineStr">
        <is>
          <t>0</t>
        </is>
      </c>
      <c r="G201" t="n">
        <v>-77.12</v>
      </c>
    </row>
    <row r="202">
      <c r="A202" t="inlineStr"/>
      <c r="B202" t="inlineStr">
        <is>
          <t>2025-10-17 00:00:00</t>
        </is>
      </c>
      <c r="C202" t="inlineStr"/>
      <c r="D202" t="inlineStr">
        <is>
          <t>SAN GABRIEL VALL FIREONLINEBILLPA - BILL PAYMT 51400500605436</t>
        </is>
      </c>
      <c r="E202" t="inlineStr"/>
      <c r="F202" t="inlineStr">
        <is>
          <t>0</t>
        </is>
      </c>
      <c r="G202" t="n">
        <v>-55.16</v>
      </c>
    </row>
    <row r="203">
      <c r="A203" t="inlineStr"/>
      <c r="B203" t="inlineStr">
        <is>
          <t>2025-08-25 00:00:00</t>
        </is>
      </c>
      <c r="C203" t="inlineStr"/>
      <c r="D203" t="inlineStr">
        <is>
          <t>SAN GABRIEL VALL FIREONLINEBILLPA - BILL PAYMT 51400503433515</t>
        </is>
      </c>
      <c r="E203" t="inlineStr"/>
      <c r="F203" t="inlineStr">
        <is>
          <t>0</t>
        </is>
      </c>
      <c r="G203" t="n">
        <v>-174.89</v>
      </c>
    </row>
    <row r="204">
      <c r="A204" t="inlineStr"/>
      <c r="B204" t="inlineStr">
        <is>
          <t>2025-07-30 00:00:00</t>
        </is>
      </c>
      <c r="C204" t="inlineStr"/>
      <c r="D204" t="inlineStr">
        <is>
          <t>SAN GABRIEL VALL FIREONLINEBILLPA - BILL PAYMT 51400503655733</t>
        </is>
      </c>
      <c r="E204" t="inlineStr"/>
      <c r="F204" t="inlineStr">
        <is>
          <t>0</t>
        </is>
      </c>
      <c r="G204" t="n">
        <v>-5.44</v>
      </c>
    </row>
    <row r="205">
      <c r="A205" t="inlineStr"/>
      <c r="B205" t="inlineStr">
        <is>
          <t>2025-02-24 00:00:00</t>
        </is>
      </c>
      <c r="C205" t="inlineStr"/>
      <c r="D205" t="inlineStr">
        <is>
          <t>SAN GABRIEL VALL FIREONLINEBILLPA - BILL PAYMT 51400505738529</t>
        </is>
      </c>
      <c r="E205" t="inlineStr"/>
      <c r="F205" t="inlineStr">
        <is>
          <t>0</t>
        </is>
      </c>
      <c r="G205" t="n">
        <v>-80</v>
      </c>
    </row>
    <row r="206">
      <c r="A206" t="inlineStr"/>
      <c r="B206" t="inlineStr">
        <is>
          <t>2025-12-15 00:00:00</t>
        </is>
      </c>
      <c r="C206" t="inlineStr"/>
      <c r="D206" t="inlineStr">
        <is>
          <t>SAN GABRIEL VALL FIREONLINEBILLPA - BILL PAYMT 51400506965760</t>
        </is>
      </c>
      <c r="E206" t="inlineStr"/>
      <c r="F206" t="inlineStr">
        <is>
          <t>0</t>
        </is>
      </c>
      <c r="G206" t="n">
        <v>-77.12</v>
      </c>
    </row>
    <row r="207">
      <c r="A207" t="inlineStr"/>
      <c r="B207" t="inlineStr">
        <is>
          <t>2025-05-27 00:00:00</t>
        </is>
      </c>
      <c r="C207" t="inlineStr"/>
      <c r="D207" t="inlineStr">
        <is>
          <t>SAN GABRIEL VALL FIREONLINEBILLPA - BILL PAYMT 51400507392683</t>
        </is>
      </c>
      <c r="E207" t="inlineStr"/>
      <c r="F207" t="inlineStr">
        <is>
          <t>0</t>
        </is>
      </c>
      <c r="G207" t="n">
        <v>-95.17</v>
      </c>
    </row>
    <row r="208">
      <c r="A208" t="inlineStr"/>
      <c r="B208" t="inlineStr">
        <is>
          <t>2025-12-08 00:00:00</t>
        </is>
      </c>
      <c r="C208" t="inlineStr"/>
      <c r="D208" t="inlineStr">
        <is>
          <t>SAN GABRIEL VALL FIREONLINEBILLPA - BILL PAYMT 51400507608065</t>
        </is>
      </c>
      <c r="E208" t="inlineStr"/>
      <c r="F208" t="inlineStr">
        <is>
          <t>0</t>
        </is>
      </c>
      <c r="G208" t="n">
        <v>-77.12</v>
      </c>
    </row>
    <row r="209">
      <c r="A209" t="inlineStr"/>
      <c r="B209" t="inlineStr">
        <is>
          <t>2025-01-15 00:00:00</t>
        </is>
      </c>
      <c r="C209" t="inlineStr"/>
      <c r="D209" t="inlineStr">
        <is>
          <t>SAN GABRIEL VALL FIREONLINEBILLPA - BILL PAYMT 51400508927361</t>
        </is>
      </c>
      <c r="E209" t="inlineStr"/>
      <c r="F209" t="inlineStr">
        <is>
          <t>0</t>
        </is>
      </c>
      <c r="G209" t="n">
        <v>-87.7</v>
      </c>
    </row>
    <row r="210">
      <c r="A210" t="inlineStr"/>
      <c r="B210" t="inlineStr">
        <is>
          <t>2025-04-07 00:00:00</t>
        </is>
      </c>
      <c r="C210" t="inlineStr"/>
      <c r="D210" t="inlineStr">
        <is>
          <t>SAN GABRIEL VALL FIREONLINEBILLPA - BILL PAYMT 51400509497717</t>
        </is>
      </c>
      <c r="E210" t="inlineStr"/>
      <c r="F210" t="inlineStr">
        <is>
          <t>0</t>
        </is>
      </c>
      <c r="G210" t="n">
        <v>-85.51000000000001</v>
      </c>
    </row>
    <row r="211">
      <c r="A211" t="inlineStr"/>
      <c r="B211" t="inlineStr">
        <is>
          <t>2025-06-23 00:00:00</t>
        </is>
      </c>
      <c r="C211" t="inlineStr"/>
      <c r="D211" t="inlineStr">
        <is>
          <t>SAN GABRIEL VALL FIREONLINEBILLPA - BILL PAYMT 51400509597931</t>
        </is>
      </c>
      <c r="E211" t="inlineStr"/>
      <c r="F211" t="inlineStr">
        <is>
          <t>0</t>
        </is>
      </c>
      <c r="G211" t="n">
        <v>-81.03</v>
      </c>
    </row>
    <row r="212">
      <c r="A212" t="inlineStr"/>
      <c r="B212" t="inlineStr">
        <is>
          <t>2025-05-19 00:00:00</t>
        </is>
      </c>
      <c r="C212" t="inlineStr"/>
      <c r="D212" t="inlineStr">
        <is>
          <t>SAN GABRIEL VALL FIREONLINEBILLPA - BILL PAYMT 51400509924411</t>
        </is>
      </c>
      <c r="E212" t="inlineStr"/>
      <c r="F212" t="inlineStr">
        <is>
          <t>0</t>
        </is>
      </c>
      <c r="G212" t="n">
        <v>-92.06</v>
      </c>
    </row>
    <row r="213">
      <c r="A213" t="inlineStr"/>
      <c r="B213" t="inlineStr">
        <is>
          <t>2025-01-23 00:00:00</t>
        </is>
      </c>
      <c r="C213" t="inlineStr"/>
      <c r="D213" t="inlineStr">
        <is>
          <t>SBA EIDL LOAN ACH TRANSACTION - PAYMENT 7903778404 41036041375598.00</t>
        </is>
      </c>
      <c r="E213" t="inlineStr"/>
      <c r="F213" t="inlineStr">
        <is>
          <t>0</t>
        </is>
      </c>
      <c r="G213" t="n">
        <v>-169</v>
      </c>
    </row>
    <row r="214">
      <c r="A214" t="inlineStr"/>
      <c r="B214" t="inlineStr">
        <is>
          <t>2025-03-24 00:00:00</t>
        </is>
      </c>
      <c r="C214" t="inlineStr"/>
      <c r="D214" t="inlineStr">
        <is>
          <t>SBA EIDL LOAN ACH TRANSACTION - PAYMENT 7903778404 41036042762290.00</t>
        </is>
      </c>
      <c r="E214" t="inlineStr"/>
      <c r="F214" t="inlineStr">
        <is>
          <t>0</t>
        </is>
      </c>
      <c r="G214" t="n">
        <v>-169</v>
      </c>
    </row>
    <row r="215">
      <c r="A215" t="inlineStr"/>
      <c r="B215" t="inlineStr">
        <is>
          <t>2025-08-25 00:00:00</t>
        </is>
      </c>
      <c r="C215" t="inlineStr"/>
      <c r="D215" t="inlineStr">
        <is>
          <t>SBA EIDL LOAN ACH TRANSACTION - PAYMENT 7903778404 41036043582923.00</t>
        </is>
      </c>
      <c r="E215" t="inlineStr"/>
      <c r="F215" t="inlineStr">
        <is>
          <t>0</t>
        </is>
      </c>
      <c r="G215" t="n">
        <v>-169</v>
      </c>
    </row>
    <row r="216">
      <c r="A216" t="inlineStr"/>
      <c r="B216" t="inlineStr">
        <is>
          <t>2025-05-23 00:00:00</t>
        </is>
      </c>
      <c r="C216" t="inlineStr"/>
      <c r="D216" t="inlineStr">
        <is>
          <t>SBA EIDL LOAN ACH TRANSACTION - PAYMENT 7903778404 41036045058195.00</t>
        </is>
      </c>
      <c r="E216" t="inlineStr"/>
      <c r="F216" t="inlineStr">
        <is>
          <t>0</t>
        </is>
      </c>
      <c r="G216" t="n">
        <v>-169</v>
      </c>
    </row>
    <row r="217">
      <c r="A217" t="inlineStr"/>
      <c r="B217" t="inlineStr">
        <is>
          <t>2025-10-23 00:00:00</t>
        </is>
      </c>
      <c r="C217" t="inlineStr"/>
      <c r="D217" t="inlineStr">
        <is>
          <t>SBA EIDL LOAN ACH TRANSACTION - PAYMENT 7903778404 41036046330964</t>
        </is>
      </c>
      <c r="E217" t="inlineStr"/>
      <c r="F217" t="inlineStr">
        <is>
          <t>0</t>
        </is>
      </c>
      <c r="G217" t="n">
        <v>-169</v>
      </c>
    </row>
    <row r="218">
      <c r="A218" t="inlineStr"/>
      <c r="B218" t="inlineStr">
        <is>
          <t>2025-02-24 00:00:00</t>
        </is>
      </c>
      <c r="C218" t="inlineStr"/>
      <c r="D218" t="inlineStr">
        <is>
          <t>SBA EIDL LOAN ACH TRANSACTION - PAYMENT 7903778404 41036046874792.00</t>
        </is>
      </c>
      <c r="E218" t="inlineStr"/>
      <c r="F218" t="inlineStr">
        <is>
          <t>0</t>
        </is>
      </c>
      <c r="G218" t="n">
        <v>-169</v>
      </c>
    </row>
    <row r="219">
      <c r="A219" t="inlineStr"/>
      <c r="B219" t="inlineStr">
        <is>
          <t>2025-07-23 00:00:00</t>
        </is>
      </c>
      <c r="C219" t="inlineStr"/>
      <c r="D219" t="inlineStr">
        <is>
          <t>SBA EIDL LOAN ACH TRANSACTION - PAYMENT 7903778404 41036046997474.00</t>
        </is>
      </c>
      <c r="E219" t="inlineStr"/>
      <c r="F219" t="inlineStr">
        <is>
          <t>0</t>
        </is>
      </c>
      <c r="G219" t="n">
        <v>-169</v>
      </c>
    </row>
    <row r="220">
      <c r="A220" t="inlineStr"/>
      <c r="B220" t="inlineStr">
        <is>
          <t>2025-04-23 00:00:00</t>
        </is>
      </c>
      <c r="C220" t="inlineStr"/>
      <c r="D220" t="inlineStr">
        <is>
          <t>SBA EIDL LOAN ACH TRANSACTION - PAYMENT 7903778404 41036048900269.00</t>
        </is>
      </c>
      <c r="E220" t="inlineStr"/>
      <c r="F220" t="inlineStr">
        <is>
          <t>0</t>
        </is>
      </c>
      <c r="G220" t="n">
        <v>-169</v>
      </c>
    </row>
    <row r="221">
      <c r="A221" t="inlineStr"/>
      <c r="B221" t="inlineStr">
        <is>
          <t>2025-09-23 00:00:00</t>
        </is>
      </c>
      <c r="C221" t="inlineStr"/>
      <c r="D221" t="inlineStr">
        <is>
          <t>SBA EIDL LOAN ACH TRANSACTION - PAYMENT 7903778404 41036049626534</t>
        </is>
      </c>
      <c r="E221" t="inlineStr"/>
      <c r="F221" t="inlineStr">
        <is>
          <t>0</t>
        </is>
      </c>
      <c r="G221" t="n">
        <v>-169</v>
      </c>
    </row>
    <row r="222">
      <c r="A222" t="inlineStr"/>
      <c r="B222" t="inlineStr">
        <is>
          <t>2025-12-23 00:00:00</t>
        </is>
      </c>
      <c r="C222" t="inlineStr"/>
      <c r="D222" t="inlineStr">
        <is>
          <t>SBA EIDL LOAN ACH TRANSACTION - PAYMENT 7903778404 41036049739590.00</t>
        </is>
      </c>
      <c r="E222" t="inlineStr"/>
      <c r="F222" t="inlineStr">
        <is>
          <t>0</t>
        </is>
      </c>
      <c r="G222" t="n">
        <v>-169</v>
      </c>
    </row>
    <row r="223">
      <c r="A223" t="inlineStr"/>
      <c r="B223" t="inlineStr">
        <is>
          <t>2025-06-23 00:00:00</t>
        </is>
      </c>
      <c r="C223" t="inlineStr"/>
      <c r="D223" t="inlineStr">
        <is>
          <t>SBA EIDL LOAN ACH TRANSACTION - PAYMENT 7903778404 41036049769051.00</t>
        </is>
      </c>
      <c r="E223" t="inlineStr"/>
      <c r="F223" t="inlineStr">
        <is>
          <t>0</t>
        </is>
      </c>
      <c r="G223" t="n">
        <v>-169</v>
      </c>
    </row>
    <row r="224">
      <c r="A224" t="inlineStr"/>
      <c r="B224" t="inlineStr">
        <is>
          <t>2025-10-01 00:00:00</t>
        </is>
      </c>
      <c r="C224" t="inlineStr"/>
      <c r="D224" t="inlineStr">
        <is>
          <t>So Cal Gas</t>
        </is>
      </c>
      <c r="E224" t="inlineStr"/>
      <c r="F224" t="inlineStr">
        <is>
          <t>0</t>
        </is>
      </c>
      <c r="G224" t="n">
        <v>-37.45</v>
      </c>
    </row>
    <row r="225">
      <c r="A225" t="inlineStr"/>
      <c r="B225" t="inlineStr">
        <is>
          <t>2025-10-17 00:00:00</t>
        </is>
      </c>
      <c r="C225" t="inlineStr"/>
      <c r="D225" t="inlineStr">
        <is>
          <t>So Cal Gas</t>
        </is>
      </c>
      <c r="E225" t="inlineStr"/>
      <c r="F225" t="inlineStr">
        <is>
          <t>0</t>
        </is>
      </c>
      <c r="G225" t="n">
        <v>-19.71</v>
      </c>
    </row>
    <row r="226">
      <c r="A226" t="inlineStr"/>
      <c r="B226" t="inlineStr">
        <is>
          <t>2025-02-18 00:00:00</t>
        </is>
      </c>
      <c r="C226" t="inlineStr"/>
      <c r="D226" t="inlineStr">
        <is>
          <t>So Cal Gas</t>
        </is>
      </c>
      <c r="E226" t="inlineStr"/>
      <c r="F226" t="inlineStr">
        <is>
          <t>0</t>
        </is>
      </c>
      <c r="G226" t="n">
        <v>-101.4</v>
      </c>
    </row>
    <row r="227">
      <c r="A227" t="inlineStr"/>
      <c r="B227" t="inlineStr">
        <is>
          <t>2025-08-25 00:00:00</t>
        </is>
      </c>
      <c r="C227" t="inlineStr"/>
      <c r="D227" t="inlineStr">
        <is>
          <t>So Cal Gas</t>
        </is>
      </c>
      <c r="E227" t="inlineStr"/>
      <c r="F227" t="inlineStr">
        <is>
          <t>0</t>
        </is>
      </c>
      <c r="G227" t="n">
        <v>-41.85</v>
      </c>
    </row>
    <row r="228">
      <c r="A228" t="inlineStr"/>
      <c r="B228" t="inlineStr">
        <is>
          <t>2025-07-30 00:00:00</t>
        </is>
      </c>
      <c r="C228" t="inlineStr"/>
      <c r="D228" t="inlineStr">
        <is>
          <t>So Cal Gas</t>
        </is>
      </c>
      <c r="E228" t="inlineStr"/>
      <c r="F228" t="inlineStr">
        <is>
          <t>0</t>
        </is>
      </c>
      <c r="G228" t="n">
        <v>-38.78</v>
      </c>
    </row>
    <row r="229">
      <c r="A229" t="inlineStr"/>
      <c r="B229" t="inlineStr">
        <is>
          <t>2025-12-15 00:00:00</t>
        </is>
      </c>
      <c r="C229" t="inlineStr"/>
      <c r="D229" t="inlineStr">
        <is>
          <t>So Cal Gas</t>
        </is>
      </c>
      <c r="E229" t="inlineStr"/>
      <c r="F229" t="inlineStr">
        <is>
          <t>0</t>
        </is>
      </c>
      <c r="G229" t="n">
        <v>-64.58</v>
      </c>
    </row>
    <row r="230">
      <c r="A230" t="inlineStr"/>
      <c r="B230" t="inlineStr">
        <is>
          <t>2025-01-15 00:00:00</t>
        </is>
      </c>
      <c r="C230" t="inlineStr"/>
      <c r="D230" t="inlineStr">
        <is>
          <t>So Cal Gas</t>
        </is>
      </c>
      <c r="E230" t="inlineStr"/>
      <c r="F230" t="inlineStr">
        <is>
          <t>0</t>
        </is>
      </c>
      <c r="G230" t="n">
        <v>-81.42</v>
      </c>
    </row>
    <row r="231">
      <c r="A231" t="inlineStr"/>
      <c r="B231" t="inlineStr">
        <is>
          <t>2025-03-10 00:00:00</t>
        </is>
      </c>
      <c r="C231" t="inlineStr"/>
      <c r="D231" t="inlineStr">
        <is>
          <t>So Cal Gas</t>
        </is>
      </c>
      <c r="E231" t="inlineStr"/>
      <c r="F231" t="inlineStr">
        <is>
          <t>0</t>
        </is>
      </c>
      <c r="G231" t="n">
        <v>-101.4</v>
      </c>
    </row>
    <row r="232">
      <c r="A232" t="inlineStr"/>
      <c r="B232" t="inlineStr">
        <is>
          <t>2025-06-23 00:00:00</t>
        </is>
      </c>
      <c r="C232" t="inlineStr"/>
      <c r="D232" t="inlineStr">
        <is>
          <t>So Cal Gas</t>
        </is>
      </c>
      <c r="E232" t="inlineStr"/>
      <c r="F232" t="inlineStr">
        <is>
          <t>0</t>
        </is>
      </c>
      <c r="G232" t="n">
        <v>-33.75</v>
      </c>
    </row>
    <row r="233">
      <c r="A233" t="inlineStr"/>
      <c r="B233" t="inlineStr">
        <is>
          <t>2025-05-19 00:00:00</t>
        </is>
      </c>
      <c r="C233" t="inlineStr"/>
      <c r="D233" t="inlineStr">
        <is>
          <t>So Cal Gas</t>
        </is>
      </c>
      <c r="E233" t="inlineStr"/>
      <c r="F233" t="inlineStr">
        <is>
          <t>0</t>
        </is>
      </c>
      <c r="G233" t="n">
        <v>-15.94</v>
      </c>
    </row>
    <row r="234">
      <c r="A234" t="inlineStr"/>
      <c r="B234" t="inlineStr">
        <is>
          <t>2025-10-01 00:00:00</t>
        </is>
      </c>
      <c r="C234" t="inlineStr"/>
      <c r="D234" t="inlineStr">
        <is>
          <t>SOUTHERN CALIFOR FIREONLINEBILLPA - BILL PAYMT 51400500343723</t>
        </is>
      </c>
      <c r="E234" t="inlineStr"/>
      <c r="F234" t="inlineStr">
        <is>
          <t>0</t>
        </is>
      </c>
      <c r="G234" t="n">
        <v>-40.12</v>
      </c>
    </row>
    <row r="235">
      <c r="A235" t="inlineStr"/>
      <c r="B235" t="inlineStr">
        <is>
          <t>2025-07-14 00:00:00</t>
        </is>
      </c>
      <c r="C235" t="inlineStr"/>
      <c r="D235" t="inlineStr">
        <is>
          <t>SOUTHERN CALIFOR FIREONLINEBILLPA - BILL PAYMT 51400502429352</t>
        </is>
      </c>
      <c r="E235" t="inlineStr"/>
      <c r="F235" t="inlineStr">
        <is>
          <t>0</t>
        </is>
      </c>
      <c r="G235" t="n">
        <v>-45.23</v>
      </c>
    </row>
    <row r="236">
      <c r="A236" t="inlineStr"/>
      <c r="B236" t="inlineStr">
        <is>
          <t>2025-08-27 00:00:00</t>
        </is>
      </c>
      <c r="C236" t="inlineStr"/>
      <c r="D236" t="inlineStr">
        <is>
          <t>SOUTHERN CALIFOR FIREONLINEBILLPA - BILL PAYMT 51400503617408</t>
        </is>
      </c>
      <c r="E236" t="inlineStr"/>
      <c r="F236" t="inlineStr">
        <is>
          <t>0</t>
        </is>
      </c>
      <c r="G236" t="n">
        <v>-38.13</v>
      </c>
    </row>
    <row r="237">
      <c r="A237" t="inlineStr"/>
      <c r="B237" t="inlineStr">
        <is>
          <t>2025-12-29 00:00:00</t>
        </is>
      </c>
      <c r="C237" t="inlineStr"/>
      <c r="D237" t="inlineStr">
        <is>
          <t>SOUTHERN CALIFOR FIREONLINEBILLPA - BILL PAYMT 51400504400327</t>
        </is>
      </c>
      <c r="E237" t="inlineStr"/>
      <c r="F237" t="inlineStr">
        <is>
          <t>0</t>
        </is>
      </c>
      <c r="G237" t="n">
        <v>-100</v>
      </c>
    </row>
    <row r="238">
      <c r="A238" t="inlineStr"/>
      <c r="B238" t="inlineStr">
        <is>
          <t>2025-05-19 00:00:00</t>
        </is>
      </c>
      <c r="C238" t="inlineStr"/>
      <c r="D238" t="inlineStr">
        <is>
          <t>SOUTHERN CALIFOR FIREONLINEBILLPA - BILL PAYMT 51400509924410</t>
        </is>
      </c>
      <c r="E238" t="inlineStr"/>
      <c r="F238" t="inlineStr">
        <is>
          <t>0</t>
        </is>
      </c>
      <c r="G238" t="n">
        <v>-1092.67</v>
      </c>
    </row>
    <row r="239">
      <c r="A239" t="inlineStr"/>
      <c r="B239" t="inlineStr">
        <is>
          <t>2025-09-26 00:00:00</t>
        </is>
      </c>
      <c r="C239" t="inlineStr"/>
      <c r="D239" t="inlineStr">
        <is>
          <t>Sunrun Inc</t>
        </is>
      </c>
      <c r="E239" t="inlineStr"/>
      <c r="F239" t="inlineStr">
        <is>
          <t>0</t>
        </is>
      </c>
      <c r="G239" t="n">
        <v>-142.5</v>
      </c>
    </row>
    <row r="240">
      <c r="A240" t="inlineStr"/>
      <c r="B240" t="inlineStr">
        <is>
          <t>2025-10-27 00:00:00</t>
        </is>
      </c>
      <c r="C240" t="inlineStr"/>
      <c r="D240" t="inlineStr">
        <is>
          <t>Sunrun Inc</t>
        </is>
      </c>
      <c r="E240" t="inlineStr"/>
      <c r="F240" t="inlineStr">
        <is>
          <t>0</t>
        </is>
      </c>
      <c r="G240" t="n">
        <v>-142.5</v>
      </c>
    </row>
    <row r="241">
      <c r="A241" t="inlineStr"/>
      <c r="B241" t="inlineStr">
        <is>
          <t>2025-03-26 00:00:00</t>
        </is>
      </c>
      <c r="C241" t="inlineStr"/>
      <c r="D241" t="inlineStr">
        <is>
          <t>Sunrun Inc</t>
        </is>
      </c>
      <c r="E241" t="inlineStr"/>
      <c r="F241" t="inlineStr">
        <is>
          <t>0</t>
        </is>
      </c>
      <c r="G241" t="n">
        <v>-139.84</v>
      </c>
    </row>
    <row r="242">
      <c r="A242" t="inlineStr"/>
      <c r="B242" t="inlineStr">
        <is>
          <t>2025-02-26 00:00:00</t>
        </is>
      </c>
      <c r="C242" t="inlineStr"/>
      <c r="D242" t="inlineStr">
        <is>
          <t>Sunrun Inc</t>
        </is>
      </c>
      <c r="E242" t="inlineStr"/>
      <c r="F242" t="inlineStr">
        <is>
          <t>0</t>
        </is>
      </c>
      <c r="G242" t="n">
        <v>-139.84</v>
      </c>
    </row>
    <row r="243">
      <c r="A243" t="inlineStr"/>
      <c r="B243" t="inlineStr">
        <is>
          <t>2025-06-26 00:00:00</t>
        </is>
      </c>
      <c r="C243" t="inlineStr"/>
      <c r="D243" t="inlineStr">
        <is>
          <t>Sunrun Inc</t>
        </is>
      </c>
      <c r="E243" t="inlineStr"/>
      <c r="F243" t="inlineStr">
        <is>
          <t>0</t>
        </is>
      </c>
      <c r="G243" t="n">
        <v>-142.5</v>
      </c>
    </row>
    <row r="244">
      <c r="A244" t="inlineStr"/>
      <c r="B244" t="inlineStr">
        <is>
          <t>2025-08-26 00:00:00</t>
        </is>
      </c>
      <c r="C244" t="inlineStr"/>
      <c r="D244" t="inlineStr">
        <is>
          <t>Sunrun Inc</t>
        </is>
      </c>
      <c r="E244" t="inlineStr"/>
      <c r="F244" t="inlineStr">
        <is>
          <t>0</t>
        </is>
      </c>
      <c r="G244" t="n">
        <v>-142.5</v>
      </c>
    </row>
    <row r="245">
      <c r="A245" t="inlineStr"/>
      <c r="B245" t="inlineStr">
        <is>
          <t>2025-04-28 00:00:00</t>
        </is>
      </c>
      <c r="C245" t="inlineStr"/>
      <c r="D245" t="inlineStr">
        <is>
          <t>Sunrun Inc</t>
        </is>
      </c>
      <c r="E245" t="inlineStr"/>
      <c r="F245" t="inlineStr">
        <is>
          <t>0</t>
        </is>
      </c>
      <c r="G245" t="n">
        <v>-139.84</v>
      </c>
    </row>
    <row r="246">
      <c r="A246" t="inlineStr"/>
      <c r="B246" t="inlineStr">
        <is>
          <t>2025-07-28 00:00:00</t>
        </is>
      </c>
      <c r="C246" t="inlineStr"/>
      <c r="D246" t="inlineStr">
        <is>
          <t>Sunrun Inc</t>
        </is>
      </c>
      <c r="E246" t="inlineStr"/>
      <c r="F246" t="inlineStr">
        <is>
          <t>0</t>
        </is>
      </c>
      <c r="G246" t="n">
        <v>-142.5</v>
      </c>
    </row>
    <row r="247">
      <c r="A247" t="inlineStr"/>
      <c r="B247" t="inlineStr">
        <is>
          <t>2025-12-26 00:00:00</t>
        </is>
      </c>
      <c r="C247" t="inlineStr"/>
      <c r="D247" t="inlineStr">
        <is>
          <t>Sunrun Inc</t>
        </is>
      </c>
      <c r="E247" t="inlineStr"/>
      <c r="F247" t="inlineStr">
        <is>
          <t>0</t>
        </is>
      </c>
      <c r="G247" t="n">
        <v>-142.5</v>
      </c>
    </row>
    <row r="248">
      <c r="A248" t="inlineStr"/>
      <c r="B248" t="inlineStr">
        <is>
          <t>2025-01-27 00:00:00</t>
        </is>
      </c>
      <c r="C248" t="inlineStr"/>
      <c r="D248" t="inlineStr">
        <is>
          <t>Sunrun Inc</t>
        </is>
      </c>
      <c r="E248" t="inlineStr"/>
      <c r="F248" t="inlineStr">
        <is>
          <t>0</t>
        </is>
      </c>
      <c r="G248" t="n">
        <v>-139.84</v>
      </c>
    </row>
    <row r="249">
      <c r="A249" t="inlineStr"/>
      <c r="B249" t="inlineStr">
        <is>
          <t>2025-05-27 00:00:00</t>
        </is>
      </c>
      <c r="C249" t="inlineStr"/>
      <c r="D249" t="inlineStr">
        <is>
          <t>Sunrun Inc</t>
        </is>
      </c>
      <c r="E249" t="inlineStr"/>
      <c r="F249" t="inlineStr">
        <is>
          <t>0</t>
        </is>
      </c>
      <c r="G249" t="n">
        <v>-139.84</v>
      </c>
    </row>
    <row r="250">
      <c r="A250" t="inlineStr"/>
      <c r="B250" t="inlineStr">
        <is>
          <t>2025-12-31 00:00:00</t>
        </is>
      </c>
      <c r="C250" t="inlineStr"/>
      <c r="D250" t="inlineStr">
        <is>
          <t>TIME WARNER CABL FIREONLINEBILLPA - BILL PAYMT 51400500755463</t>
        </is>
      </c>
      <c r="E250" t="inlineStr"/>
      <c r="F250" t="inlineStr">
        <is>
          <t>0</t>
        </is>
      </c>
      <c r="G250" t="n">
        <v>-51.25</v>
      </c>
    </row>
    <row r="251">
      <c r="A251" t="inlineStr"/>
      <c r="B251" t="inlineStr">
        <is>
          <t>2025-08-12 00:00:00</t>
        </is>
      </c>
      <c r="C251" t="inlineStr"/>
      <c r="D251" t="inlineStr">
        <is>
          <t>USAA P&amp;C ACH PAYMENTS - PAYMENT 21000020790504.00</t>
        </is>
      </c>
      <c r="E251" t="inlineStr"/>
      <c r="F251" t="inlineStr">
        <is>
          <t>0</t>
        </is>
      </c>
      <c r="G251" t="n">
        <v>-269.27</v>
      </c>
    </row>
    <row r="252">
      <c r="A252" t="inlineStr"/>
      <c r="B252" t="inlineStr">
        <is>
          <t>2025-01-22 00:00:00</t>
        </is>
      </c>
      <c r="C252" t="inlineStr"/>
      <c r="D252" t="inlineStr">
        <is>
          <t>USAA P&amp;C ACH PAYMENTS - PAYMENT 21000023838440.00</t>
        </is>
      </c>
      <c r="E252" t="inlineStr"/>
      <c r="F252" t="inlineStr">
        <is>
          <t>0</t>
        </is>
      </c>
      <c r="G252" t="n">
        <v>-132.68</v>
      </c>
    </row>
    <row r="253">
      <c r="A253" t="inlineStr"/>
      <c r="B253" t="inlineStr">
        <is>
          <t>2025-01-06 00:00:00</t>
        </is>
      </c>
      <c r="C253" t="inlineStr"/>
      <c r="D253" t="inlineStr">
        <is>
          <t>USAA P&amp;C ACH PAYMENTS - PAYMENT 21000024627240.00</t>
        </is>
      </c>
      <c r="E253" t="inlineStr"/>
      <c r="F253" t="inlineStr">
        <is>
          <t>0</t>
        </is>
      </c>
      <c r="G253" t="n">
        <v>-147.68</v>
      </c>
    </row>
    <row r="254">
      <c r="A254" t="inlineStr"/>
      <c r="B254" t="inlineStr">
        <is>
          <t>2025-04-14 00:00:00</t>
        </is>
      </c>
      <c r="C254" t="inlineStr"/>
      <c r="D254" t="inlineStr">
        <is>
          <t>USAA P&amp;C ACH PAYMENTS - PAYMENT 21000024897601.00</t>
        </is>
      </c>
      <c r="E254" t="inlineStr"/>
      <c r="F254" t="inlineStr">
        <is>
          <t>0</t>
        </is>
      </c>
      <c r="G254" t="n">
        <v>-15</v>
      </c>
    </row>
    <row r="255">
      <c r="A255" t="inlineStr"/>
      <c r="B255" t="inlineStr">
        <is>
          <t>2025-06-12 00:00:00</t>
        </is>
      </c>
      <c r="C255" t="inlineStr"/>
      <c r="D255" t="inlineStr">
        <is>
          <t>USAA P&amp;C ACH PAYMENTS - PAYMENT 21000025928928.00</t>
        </is>
      </c>
      <c r="E255" t="inlineStr"/>
      <c r="F255" t="inlineStr">
        <is>
          <t>0</t>
        </is>
      </c>
      <c r="G255" t="n">
        <v>-270.15</v>
      </c>
    </row>
    <row r="256">
      <c r="A256" t="inlineStr"/>
      <c r="B256" t="inlineStr">
        <is>
          <t>2025-07-11 00:00:00</t>
        </is>
      </c>
      <c r="C256" t="inlineStr"/>
      <c r="D256" t="inlineStr">
        <is>
          <t>USAA P&amp;C ACH PAYMENTS - PAYMENT 21000026320883.00</t>
        </is>
      </c>
      <c r="E256" t="inlineStr"/>
      <c r="F256" t="inlineStr">
        <is>
          <t>0</t>
        </is>
      </c>
      <c r="G256" t="n">
        <v>-269.27</v>
      </c>
    </row>
    <row r="257">
      <c r="A257" t="inlineStr"/>
      <c r="B257" t="inlineStr">
        <is>
          <t>2025-12-19 00:00:00</t>
        </is>
      </c>
      <c r="C257" t="inlineStr"/>
      <c r="D257" t="inlineStr">
        <is>
          <t>USAA P&amp;C ACH PAYMENTS - PAYMENT 21000026927586.00</t>
        </is>
      </c>
      <c r="E257" t="inlineStr"/>
      <c r="F257" t="inlineStr">
        <is>
          <t>0</t>
        </is>
      </c>
      <c r="G257" t="n">
        <v>-51.03</v>
      </c>
    </row>
    <row r="258">
      <c r="A258" t="inlineStr"/>
      <c r="B258" t="inlineStr">
        <is>
          <t>2025-09-18 00:00:00</t>
        </is>
      </c>
      <c r="C258" t="inlineStr"/>
      <c r="D258" t="inlineStr">
        <is>
          <t>USAA P&amp;C ACH PAYMENTS - PAYMENT 21000029179980</t>
        </is>
      </c>
      <c r="E258" t="inlineStr"/>
      <c r="F258" t="inlineStr">
        <is>
          <t>0</t>
        </is>
      </c>
      <c r="G258" t="n">
        <v>-807.8</v>
      </c>
    </row>
    <row r="259">
      <c r="A259" t="inlineStr"/>
      <c r="B259" t="inlineStr">
        <is>
          <t>2025-03-18 00:00:00</t>
        </is>
      </c>
      <c r="C259" t="inlineStr"/>
      <c r="D259" t="inlineStr">
        <is>
          <t>USAA P&amp;C ACH PAYMENTS - PAYMENT 21000029874915.00</t>
        </is>
      </c>
      <c r="E259" t="inlineStr"/>
      <c r="F259" t="inlineStr">
        <is>
          <t>0</t>
        </is>
      </c>
      <c r="G259" t="n">
        <v>-398.06</v>
      </c>
    </row>
    <row r="260">
      <c r="A260" t="inlineStr"/>
      <c r="B260" t="inlineStr">
        <is>
          <t>2025-04-30 00:00:00</t>
        </is>
      </c>
      <c r="C260" t="inlineStr"/>
      <c r="D260" t="inlineStr">
        <is>
          <t>Verizon</t>
        </is>
      </c>
      <c r="E260" t="inlineStr"/>
      <c r="F260" t="inlineStr">
        <is>
          <t>0</t>
        </is>
      </c>
      <c r="G260" t="n">
        <v>-188.36</v>
      </c>
    </row>
    <row r="261">
      <c r="A261" t="inlineStr"/>
      <c r="B261" t="inlineStr">
        <is>
          <t>2025-06-30 00:00:00</t>
        </is>
      </c>
      <c r="C261" t="inlineStr"/>
      <c r="D261" t="inlineStr">
        <is>
          <t>Verizon</t>
        </is>
      </c>
      <c r="E261" t="inlineStr"/>
      <c r="F261" t="inlineStr">
        <is>
          <t>0</t>
        </is>
      </c>
      <c r="G261" t="n">
        <v>-198.94</v>
      </c>
    </row>
    <row r="262">
      <c r="A262" t="inlineStr"/>
      <c r="B262" t="inlineStr">
        <is>
          <t>2025-01-30 00:00:00</t>
        </is>
      </c>
      <c r="C262" t="inlineStr"/>
      <c r="D262" t="inlineStr">
        <is>
          <t>Verizon</t>
        </is>
      </c>
      <c r="E262" t="inlineStr"/>
      <c r="F262" t="inlineStr">
        <is>
          <t>0</t>
        </is>
      </c>
      <c r="G262" t="n">
        <v>-188.38</v>
      </c>
    </row>
    <row r="263">
      <c r="A263" t="inlineStr"/>
      <c r="B263" t="inlineStr">
        <is>
          <t>2025-12-30 00:00:00</t>
        </is>
      </c>
      <c r="C263" t="inlineStr"/>
      <c r="D263" t="inlineStr">
        <is>
          <t>Verizon</t>
        </is>
      </c>
      <c r="E263" t="inlineStr"/>
      <c r="F263" t="inlineStr">
        <is>
          <t>0</t>
        </is>
      </c>
      <c r="G263" t="n">
        <v>-149.37</v>
      </c>
    </row>
    <row r="264">
      <c r="A264" t="inlineStr"/>
      <c r="B264" t="inlineStr">
        <is>
          <t>2025-09-02 00:00:00</t>
        </is>
      </c>
      <c r="C264" t="inlineStr"/>
      <c r="D264" t="inlineStr">
        <is>
          <t>Verizon</t>
        </is>
      </c>
      <c r="E264" t="inlineStr"/>
      <c r="F264" t="inlineStr">
        <is>
          <t>0</t>
        </is>
      </c>
      <c r="G264" t="n">
        <v>-198.92</v>
      </c>
    </row>
    <row r="265">
      <c r="A265" t="inlineStr"/>
      <c r="B265" t="inlineStr">
        <is>
          <t>2025-09-30 00:00:00</t>
        </is>
      </c>
      <c r="C265" t="inlineStr"/>
      <c r="D265" t="inlineStr">
        <is>
          <t>Verizon</t>
        </is>
      </c>
      <c r="E265" t="inlineStr"/>
      <c r="F265" t="inlineStr">
        <is>
          <t>0</t>
        </is>
      </c>
      <c r="G265" t="n">
        <v>-199.58</v>
      </c>
    </row>
    <row r="266">
      <c r="A266" t="inlineStr"/>
      <c r="B266" t="inlineStr">
        <is>
          <t>2025-03-04 00:00:00</t>
        </is>
      </c>
      <c r="C266" t="inlineStr"/>
      <c r="D266" t="inlineStr">
        <is>
          <t>Verizon</t>
        </is>
      </c>
      <c r="E266" t="inlineStr"/>
      <c r="F266" t="inlineStr">
        <is>
          <t>0</t>
        </is>
      </c>
      <c r="G266" t="n">
        <v>-188.38</v>
      </c>
    </row>
    <row r="267">
      <c r="A267" t="inlineStr"/>
      <c r="B267" t="inlineStr">
        <is>
          <t>2025-05-30 00:00:00</t>
        </is>
      </c>
      <c r="C267" t="inlineStr"/>
      <c r="D267" t="inlineStr">
        <is>
          <t>Verizon</t>
        </is>
      </c>
      <c r="E267" t="inlineStr"/>
      <c r="F267" t="inlineStr">
        <is>
          <t>0</t>
        </is>
      </c>
      <c r="G267" t="n">
        <v>-197.94</v>
      </c>
    </row>
    <row r="268">
      <c r="A268" t="inlineStr"/>
      <c r="B268" t="inlineStr">
        <is>
          <t>2025-12-01 00:00:00</t>
        </is>
      </c>
      <c r="C268" t="inlineStr"/>
      <c r="D268" t="inlineStr">
        <is>
          <t>Verizon</t>
        </is>
      </c>
      <c r="E268" t="inlineStr"/>
      <c r="F268" t="inlineStr">
        <is>
          <t>0</t>
        </is>
      </c>
      <c r="G268" t="n">
        <v>-224.82</v>
      </c>
    </row>
    <row r="269">
      <c r="A269" t="inlineStr"/>
      <c r="B269" t="inlineStr">
        <is>
          <t>2025-03-31 00:00:00</t>
        </is>
      </c>
      <c r="C269" t="inlineStr"/>
      <c r="D269" t="inlineStr">
        <is>
          <t>Verizon</t>
        </is>
      </c>
      <c r="E269" t="inlineStr"/>
      <c r="F269" t="inlineStr">
        <is>
          <t>0</t>
        </is>
      </c>
      <c r="G269" t="n">
        <v>-188.38</v>
      </c>
    </row>
    <row r="270">
      <c r="A270" t="inlineStr"/>
      <c r="B270" t="inlineStr">
        <is>
          <t>2025-10-30 00:00:00</t>
        </is>
      </c>
      <c r="C270" t="inlineStr"/>
      <c r="D270" t="inlineStr">
        <is>
          <t>Verizon</t>
        </is>
      </c>
      <c r="E270" t="inlineStr"/>
      <c r="F270" t="inlineStr">
        <is>
          <t>0</t>
        </is>
      </c>
      <c r="G270" t="n">
        <v>-249.96</v>
      </c>
    </row>
    <row r="271">
      <c r="A271" t="inlineStr"/>
      <c r="B271" t="inlineStr">
        <is>
          <t>2025-07-30 00:00:00</t>
        </is>
      </c>
      <c r="C271" t="inlineStr"/>
      <c r="D271" t="inlineStr">
        <is>
          <t>Verizon</t>
        </is>
      </c>
      <c r="E271" t="inlineStr"/>
      <c r="F271" t="inlineStr">
        <is>
          <t>0</t>
        </is>
      </c>
      <c r="G271" t="n">
        <v>-198.92</v>
      </c>
    </row>
    <row r="272">
      <c r="A272" t="inlineStr"/>
      <c r="B272" t="inlineStr">
        <is>
          <t>2025-01-13 00:00:00</t>
        </is>
      </c>
      <c r="C272" t="inlineStr"/>
      <c r="D272" t="inlineStr">
        <is>
          <t>Withdrawal</t>
        </is>
      </c>
      <c r="E272" t="inlineStr"/>
      <c r="F272" t="inlineStr">
        <is>
          <t>0</t>
        </is>
      </c>
      <c r="G272" t="n">
        <v>-700</v>
      </c>
    </row>
    <row r="273">
      <c r="A273" t="inlineStr"/>
      <c r="B273" t="inlineStr">
        <is>
          <t>2025-02-14 00:00:00</t>
        </is>
      </c>
      <c r="C273" t="inlineStr"/>
      <c r="D273" t="inlineStr">
        <is>
          <t>Withdrawal</t>
        </is>
      </c>
      <c r="E273" t="inlineStr"/>
      <c r="F273" t="inlineStr">
        <is>
          <t>0</t>
        </is>
      </c>
      <c r="G273" t="n">
        <v>-700</v>
      </c>
    </row>
    <row r="274">
      <c r="A274" t="inlineStr"/>
      <c r="B274" t="inlineStr">
        <is>
          <t>2025-03-18 00:00:00</t>
        </is>
      </c>
      <c r="C274" t="inlineStr"/>
      <c r="D274" t="inlineStr">
        <is>
          <t>Withdrawal</t>
        </is>
      </c>
      <c r="E274" t="inlineStr"/>
      <c r="F274" t="inlineStr">
        <is>
          <t>0</t>
        </is>
      </c>
      <c r="G274" t="n">
        <v>-700</v>
      </c>
    </row>
    <row r="275">
      <c r="A275" t="inlineStr"/>
      <c r="B275" t="inlineStr">
        <is>
          <t>2025-04-10 00:00:00</t>
        </is>
      </c>
      <c r="C275" t="inlineStr"/>
      <c r="D275" t="inlineStr">
        <is>
          <t>Withdrawal</t>
        </is>
      </c>
      <c r="E275" t="inlineStr"/>
      <c r="F275" t="inlineStr">
        <is>
          <t>0</t>
        </is>
      </c>
      <c r="G275" t="n">
        <v>-700</v>
      </c>
    </row>
    <row r="276">
      <c r="A276" t="inlineStr"/>
      <c r="B276" t="inlineStr">
        <is>
          <t>2025-05-07 00:00:00</t>
        </is>
      </c>
      <c r="C276" t="inlineStr"/>
      <c r="D276" t="inlineStr">
        <is>
          <t>Withdrawal</t>
        </is>
      </c>
      <c r="E276" t="inlineStr"/>
      <c r="F276" t="inlineStr">
        <is>
          <t>0</t>
        </is>
      </c>
      <c r="G276" t="n">
        <v>-700</v>
      </c>
    </row>
    <row r="277">
      <c r="A277" t="inlineStr"/>
      <c r="B277" t="inlineStr">
        <is>
          <t>2025-06-20 00:00:00</t>
        </is>
      </c>
      <c r="C277" t="inlineStr"/>
      <c r="D277" t="inlineStr">
        <is>
          <t>Withdrawal</t>
        </is>
      </c>
      <c r="E277" t="inlineStr"/>
      <c r="F277" t="inlineStr">
        <is>
          <t>0</t>
        </is>
      </c>
      <c r="G277" t="n">
        <v>-700</v>
      </c>
    </row>
    <row r="278">
      <c r="A278" t="inlineStr"/>
      <c r="B278" t="inlineStr">
        <is>
          <t>2025-07-20 00:00:00</t>
        </is>
      </c>
      <c r="C278" t="inlineStr"/>
      <c r="D278" t="inlineStr">
        <is>
          <t>Withdrawal</t>
        </is>
      </c>
      <c r="E278" t="inlineStr"/>
      <c r="F278" t="inlineStr">
        <is>
          <t>0</t>
        </is>
      </c>
      <c r="G278" t="n">
        <v>-700</v>
      </c>
    </row>
    <row r="279">
      <c r="A279" t="inlineStr"/>
      <c r="B279" t="inlineStr">
        <is>
          <t>2025-08-18 00:00:00</t>
        </is>
      </c>
      <c r="C279" t="inlineStr"/>
      <c r="D279" t="inlineStr">
        <is>
          <t>Withdrawal</t>
        </is>
      </c>
      <c r="E279" t="inlineStr"/>
      <c r="F279" t="inlineStr">
        <is>
          <t>0</t>
        </is>
      </c>
      <c r="G279" t="n">
        <v>-700</v>
      </c>
    </row>
    <row r="280">
      <c r="A280" t="inlineStr"/>
      <c r="B280" t="inlineStr">
        <is>
          <t>2025-08-28 00:00:00</t>
        </is>
      </c>
      <c r="C280" t="inlineStr"/>
      <c r="D280" t="inlineStr">
        <is>
          <t>Withdrawal</t>
        </is>
      </c>
      <c r="E280" t="inlineStr"/>
      <c r="F280" t="inlineStr">
        <is>
          <t>0</t>
        </is>
      </c>
      <c r="G280" t="n">
        <v>-700</v>
      </c>
    </row>
    <row r="281">
      <c r="A281" t="inlineStr"/>
      <c r="B281" t="inlineStr">
        <is>
          <t>2025-10-01 00:00:00</t>
        </is>
      </c>
      <c r="C281" t="inlineStr"/>
      <c r="D281" t="inlineStr">
        <is>
          <t>Withdrawal</t>
        </is>
      </c>
      <c r="E281" t="inlineStr"/>
      <c r="F281" t="inlineStr">
        <is>
          <t>0</t>
        </is>
      </c>
      <c r="G281" t="n">
        <v>-700</v>
      </c>
    </row>
    <row r="282">
      <c r="A282" t="inlineStr"/>
      <c r="B282" t="inlineStr">
        <is>
          <t>2025-12-02 00:00:00</t>
        </is>
      </c>
      <c r="C282" t="inlineStr"/>
      <c r="D282" t="inlineStr">
        <is>
          <t>Withdrawal</t>
        </is>
      </c>
      <c r="E282" t="inlineStr"/>
      <c r="F282" t="inlineStr">
        <is>
          <t>0</t>
        </is>
      </c>
      <c r="G282" t="n">
        <v>-700</v>
      </c>
    </row>
    <row r="283">
      <c r="A283" t="inlineStr"/>
      <c r="B283" t="inlineStr">
        <is>
          <t>2025-01-25 00:00:00</t>
        </is>
      </c>
      <c r="C283" t="inlineStr"/>
      <c r="D283" t="inlineStr">
        <is>
          <t>Withdrawal</t>
        </is>
      </c>
      <c r="E283" t="inlineStr"/>
      <c r="F283" t="inlineStr">
        <is>
          <t>0</t>
        </is>
      </c>
      <c r="G283" t="n">
        <v>-1000</v>
      </c>
    </row>
    <row r="284">
      <c r="A284" t="inlineStr"/>
      <c r="B284" t="inlineStr">
        <is>
          <t>2025-08-21 00:00:00</t>
        </is>
      </c>
      <c r="C284" t="inlineStr"/>
      <c r="D284" t="inlineStr">
        <is>
          <t>Withdrawal</t>
        </is>
      </c>
      <c r="E284" t="inlineStr"/>
      <c r="F284" t="inlineStr">
        <is>
          <t>0</t>
        </is>
      </c>
      <c r="G284" t="n">
        <v>-1000</v>
      </c>
    </row>
    <row r="285">
      <c r="A285" t="inlineStr"/>
      <c r="B285" t="inlineStr">
        <is>
          <t>2025-09-03 00:00:00</t>
        </is>
      </c>
      <c r="C285" t="inlineStr"/>
      <c r="D285" t="inlineStr">
        <is>
          <t>Withdrawal</t>
        </is>
      </c>
      <c r="E285" t="inlineStr"/>
      <c r="F285" t="inlineStr">
        <is>
          <t>0</t>
        </is>
      </c>
      <c r="G285" t="n">
        <v>-1000</v>
      </c>
    </row>
    <row r="286">
      <c r="A286" t="inlineStr"/>
      <c r="B286" t="inlineStr">
        <is>
          <t>2025-10-01 00:00:00</t>
        </is>
      </c>
      <c r="C286" t="inlineStr"/>
      <c r="D286" t="inlineStr">
        <is>
          <t>Withdrawal</t>
        </is>
      </c>
      <c r="E286" t="inlineStr"/>
      <c r="F286" t="inlineStr">
        <is>
          <t>0</t>
        </is>
      </c>
      <c r="G286" t="n">
        <v>-1000</v>
      </c>
    </row>
    <row r="287">
      <c r="A287" t="inlineStr"/>
      <c r="B287" t="inlineStr">
        <is>
          <t>2025-02-14 00:00:00</t>
        </is>
      </c>
      <c r="C287" t="inlineStr"/>
      <c r="D287" t="inlineStr">
        <is>
          <t>Withdrawal</t>
        </is>
      </c>
      <c r="E287" t="inlineStr"/>
      <c r="F287" t="inlineStr">
        <is>
          <t>0</t>
        </is>
      </c>
      <c r="G287" t="n">
        <v>-1000</v>
      </c>
    </row>
    <row r="288">
      <c r="A288" t="inlineStr"/>
      <c r="B288" t="inlineStr">
        <is>
          <t>2025-03-18 00:00:00</t>
        </is>
      </c>
      <c r="C288" t="inlineStr"/>
      <c r="D288" t="inlineStr">
        <is>
          <t>Withdrawal</t>
        </is>
      </c>
      <c r="E288" t="inlineStr"/>
      <c r="F288" t="inlineStr">
        <is>
          <t>0</t>
        </is>
      </c>
      <c r="G288" t="n">
        <v>-1000</v>
      </c>
    </row>
    <row r="289">
      <c r="A289" t="inlineStr"/>
      <c r="B289" t="inlineStr">
        <is>
          <t>2025-04-20 00:00:00</t>
        </is>
      </c>
      <c r="C289" t="inlineStr"/>
      <c r="D289" t="inlineStr">
        <is>
          <t>Withdrawal</t>
        </is>
      </c>
      <c r="E289" t="inlineStr"/>
      <c r="F289" t="inlineStr">
        <is>
          <t>0</t>
        </is>
      </c>
      <c r="G289" t="n">
        <v>-1000</v>
      </c>
    </row>
    <row r="290">
      <c r="A290" t="inlineStr"/>
      <c r="B290" t="inlineStr">
        <is>
          <t>2025-05-13 00:00:00</t>
        </is>
      </c>
      <c r="C290" t="inlineStr"/>
      <c r="D290" t="inlineStr">
        <is>
          <t>Withdrawal</t>
        </is>
      </c>
      <c r="E290" t="inlineStr"/>
      <c r="F290" t="inlineStr">
        <is>
          <t>0</t>
        </is>
      </c>
      <c r="G290" t="n">
        <v>-1000</v>
      </c>
    </row>
    <row r="291">
      <c r="A291" t="inlineStr"/>
      <c r="B291" t="inlineStr">
        <is>
          <t>2025-12-23 00:00:00</t>
        </is>
      </c>
      <c r="C291" t="inlineStr"/>
      <c r="D291" t="inlineStr">
        <is>
          <t>Withdrawal</t>
        </is>
      </c>
      <c r="E291" t="inlineStr"/>
      <c r="F291" t="inlineStr">
        <is>
          <t>0</t>
        </is>
      </c>
      <c r="G291" t="n">
        <v>-1000</v>
      </c>
    </row>
    <row r="292">
      <c r="A292" t="inlineStr"/>
      <c r="B292" t="inlineStr">
        <is>
          <t>2025-06-27 00:00:00</t>
        </is>
      </c>
      <c r="C292" t="inlineStr"/>
      <c r="D292" t="inlineStr">
        <is>
          <t>Gov Planet</t>
        </is>
      </c>
      <c r="E292" t="inlineStr"/>
      <c r="F292" t="inlineStr">
        <is>
          <t>0</t>
        </is>
      </c>
      <c r="G292" t="n">
        <v>-500</v>
      </c>
    </row>
    <row r="293">
      <c r="A293" t="inlineStr"/>
      <c r="B293" t="inlineStr">
        <is>
          <t>2025-12-12 00:00:00</t>
        </is>
      </c>
      <c r="C293" t="inlineStr"/>
      <c r="D293" t="inlineStr">
        <is>
          <t>Gov Planet</t>
        </is>
      </c>
      <c r="E293" t="inlineStr"/>
      <c r="F293" t="inlineStr">
        <is>
          <t>0</t>
        </is>
      </c>
      <c r="G293" t="n">
        <v>-1000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Nate Tyler</dc:creator>
  <dcterms:created xsi:type="dcterms:W3CDTF">2026-01-07T22:00:21Z</dcterms:created>
  <dcterms:modified xsi:type="dcterms:W3CDTF">2026-02-28T23:03:48Z</dcterms:modified>
  <cp:lastModifiedBy>Nate Tyler</cp:lastModifiedBy>
</cp:coreProperties>
</file>