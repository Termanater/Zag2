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offic\Desktop\School\Virtual Enviornment and Py\Zag2\"/>
    </mc:Choice>
  </mc:AlternateContent>
  <xr:revisionPtr revIDLastSave="0" documentId="13_ncr:1_{A09A7B11-FA9E-425D-B81D-F821F6708A2F}" xr6:coauthVersionLast="47" xr6:coauthVersionMax="47" xr10:uidLastSave="{00000000-0000-0000-0000-000000000000}"/>
  <bookViews>
    <workbookView xWindow="-16320" yWindow="-13905" windowWidth="16440" windowHeight="283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F3" i="1"/>
  <c r="F1" i="1" s="1"/>
  <c r="G2" i="1"/>
  <c r="F2" i="1"/>
  <c r="G1" i="1"/>
</calcChain>
</file>

<file path=xl/sharedStrings.xml><?xml version="1.0" encoding="utf-8"?>
<sst xmlns="http://schemas.openxmlformats.org/spreadsheetml/2006/main" count="219" uniqueCount="150">
  <si>
    <t>diff</t>
  </si>
  <si>
    <t>stmt</t>
  </si>
  <si>
    <t>total</t>
  </si>
  <si>
    <t>date</t>
  </si>
  <si>
    <t>description</t>
  </si>
  <si>
    <t>amount</t>
  </si>
  <si>
    <t xml:space="preserve">Anconmarine2605 </t>
  </si>
  <si>
    <t xml:space="preserve">Auto Rentals Inc </t>
  </si>
  <si>
    <t>Bankcard</t>
  </si>
  <si>
    <t xml:space="preserve">Deposit </t>
  </si>
  <si>
    <t xml:space="preserve">Zelle Payment From Bart Bujanda </t>
  </si>
  <si>
    <t>Zelle Payment From Bart Bujanda</t>
  </si>
  <si>
    <t xml:space="preserve">Zelle Payment From Benjamin Christopher Hernandez </t>
  </si>
  <si>
    <t xml:space="preserve">Zelle Payment From Brady Westbrook </t>
  </si>
  <si>
    <t xml:space="preserve">Zelle Payment From Cassandra Marrujo </t>
  </si>
  <si>
    <t xml:space="preserve">Zelle Payment From Craig Campbell </t>
  </si>
  <si>
    <t xml:space="preserve">Zelle Payment From Dean Huss </t>
  </si>
  <si>
    <t>Zelle Payment From Dean Huss</t>
  </si>
  <si>
    <t>Zelle Payment From Erautt Sweeping LLC</t>
  </si>
  <si>
    <t xml:space="preserve">Zelle Payment From Erautt Sweeping LLC </t>
  </si>
  <si>
    <t xml:space="preserve">Zelle Payment From Francisco Chico </t>
  </si>
  <si>
    <t>Zelle Payment From Gary Roberts Bachjo</t>
  </si>
  <si>
    <t xml:space="preserve">Zelle Payment From George Ray Moore Jr </t>
  </si>
  <si>
    <t>Zelle Payment From Harry N Atwood IV Dba Harry Atwood IV</t>
  </si>
  <si>
    <t xml:space="preserve">Zelle Payment From Hawkinson Family Freight LLC </t>
  </si>
  <si>
    <t xml:space="preserve">Zelle Payment From Jacob S Ward </t>
  </si>
  <si>
    <t xml:space="preserve">Zelle Payment From James Flournoy </t>
  </si>
  <si>
    <t xml:space="preserve">Zelle Payment From Jeffrey S Lindley </t>
  </si>
  <si>
    <t xml:space="preserve">Zelle Payment From John Thiem </t>
  </si>
  <si>
    <t>Zelle Payment From Jose D Valenzuela Dba D &amp; S Logistics</t>
  </si>
  <si>
    <t xml:space="preserve">Zelle Payment From Joseph Bunker </t>
  </si>
  <si>
    <t xml:space="preserve">Zelle Payment From Kalina S Sanchez </t>
  </si>
  <si>
    <t xml:space="preserve">Zelle Payment From Lindsay Cochran </t>
  </si>
  <si>
    <t xml:space="preserve">Zelle Payment From Load Ranger Trucking LLC </t>
  </si>
  <si>
    <t>Zelle Payment From Mahbobullah Darweesh</t>
  </si>
  <si>
    <t xml:space="preserve">Zelle Payment From Mee Xpress LLC </t>
  </si>
  <si>
    <t xml:space="preserve">Zelle Payment From Nin Dot LLC </t>
  </si>
  <si>
    <t>Zelle Payment From Roberto Reyes</t>
  </si>
  <si>
    <t xml:space="preserve">Zelle Payment From Roberto Reyes </t>
  </si>
  <si>
    <t xml:space="preserve">Zelle Payment From Ryan Harold </t>
  </si>
  <si>
    <t xml:space="preserve">Zelle Payment From Sevak Sarhsian </t>
  </si>
  <si>
    <t xml:space="preserve">Zelle Payment From Steven Carbajal </t>
  </si>
  <si>
    <t xml:space="preserve">Zelle Payment From Sumy Inc </t>
  </si>
  <si>
    <t xml:space="preserve">Zelle Payment From Victor M Lopez </t>
  </si>
  <si>
    <t>Zelle Payment To Industrial Fire Protection CO. Jpm99C587Rxf - Returned</t>
  </si>
  <si>
    <t>2745</t>
  </si>
  <si>
    <t>2746</t>
  </si>
  <si>
    <t>2748</t>
  </si>
  <si>
    <t>2750</t>
  </si>
  <si>
    <t>2751</t>
  </si>
  <si>
    <t>2752</t>
  </si>
  <si>
    <t>2753</t>
  </si>
  <si>
    <t>2754</t>
  </si>
  <si>
    <t>2755</t>
  </si>
  <si>
    <t>2756</t>
  </si>
  <si>
    <t>2757</t>
  </si>
  <si>
    <t>2758</t>
  </si>
  <si>
    <t>2759</t>
  </si>
  <si>
    <t>2760</t>
  </si>
  <si>
    <t>2761</t>
  </si>
  <si>
    <t>2762</t>
  </si>
  <si>
    <t>2765</t>
  </si>
  <si>
    <t>2766</t>
  </si>
  <si>
    <t>3226</t>
  </si>
  <si>
    <t>43 Pawnee Leasin Orig ID:1933876168 Desc Date:260201 CO Entry Descr:Auth Paymesec:CCD Trace#:091000019276588 Eed:260202 Ind ID:G-0D3417525E614 Ind Name:, Trn: 0339276588Tc</t>
  </si>
  <si>
    <t>43 Pawnee Leasin Orig ID:1933876168 Desc Date:260301 CO Entry Descr:Auth Paymesec:CCD Trace#:091000017116713 Eed:260302 Ind ID:G-E26E6C0855Ee4 Ind Name:, Trn: 0617116713Tc</t>
  </si>
  <si>
    <t>Account Services Orig ID:1274135407 Desc Date:021726 CO Entry Descr:Cash Transsec:CCD Trace#:111000024511450 Eed:260218 Ind ID:(855) 636-9502 Ind Name: Repair American Financi*855-636-9502*Agre Ement Number 809-8238791-000\ Trn:</t>
  </si>
  <si>
    <t>Account Services Orig ID:1274135407 Desc Date:031726 CO Entry Descr:Cash Transsec:CCD Trace#:111000025262494 Eed:260318 Ind ID:(855) 636-9502 Ind Name: Repair American Financi*855-636-9502*Agre Ement Number 809-8238791-000\ Trn:</t>
  </si>
  <si>
    <t>Bankcard Orig ID:4518088069 Desc Date:260131 CO Entry Descr:Mtot Disc Sec:CCD Trace#:091000013130733 Eed:260202 Ind ID:518993731159075 Ind Name: Trn: 0333130733Tc</t>
  </si>
  <si>
    <t>Bankcard Orig ID:4518088069 Desc Date:260228 CO Entry Descr:Mtot Disc Sec:CCD Trace#:091000017736347 Eed:260302 Ind ID:518993731159075 Ind Name: Trn: 0617736347Tc</t>
  </si>
  <si>
    <t>Barrett Business Orig ID:6520812977 Desc Date:260206 CO Entry Descr:Invoice Sec:CCD Trace#:091000019372614 Eed:260206 Ind ID:H37514991133902 Ind Name:, Trn: 0379372614Tc</t>
  </si>
  <si>
    <t>Barrett Business Orig ID:6520812977 Desc Date:260213 CO Entry Descr:Invoice Sec:CCD Trace#:091000012051233 Eed:260213 Ind ID:H37596491133902 Ind Name:, Trn: 0442051233Tc</t>
  </si>
  <si>
    <t>Barrett Business Orig ID:6520812977 Desc Date:260213 CO Entry Descr:Invoice Sec:CCD Trace#:091000012090251 Eed:260213 Ind ID:H37627491133902 Ind Name:, Trn: 0442090251Tc</t>
  </si>
  <si>
    <t>Barrett Business Orig ID:6520812977 Desc Date:260220 CO Entry Descr:Invoice Sec:CCD Trace#:091000013695381 Eed:260220 Ind ID:H37655891133902 Ind Name:, Trn: 0513695381Tc</t>
  </si>
  <si>
    <t>Barrett Business Orig ID:6520812977 Desc Date:260223 CO Entry Descr:Invoice Sec:CCD Trace#:091000017443866 Eed:260223 Ind ID:H37699191133902 Ind Name:, Trn: 0547443866Tc</t>
  </si>
  <si>
    <t>Barrett Business Orig ID:6520812977 Desc Date:260227 CO Entry Descr:Invoice Sec:CCD Trace#:091000012200196 Eed:260227 Ind ID:H37760091133902 Ind Name:, Trn: 0582200196Tc</t>
  </si>
  <si>
    <t>Barrett Business Orig ID:6520812977 Desc Date:260227 CO Entry Descr:Invoice Sec:CCD Trace#:091000019186905 Eed:260227 Ind ID:H37738091133902 Ind Name:, Trn: 0589186905Tc</t>
  </si>
  <si>
    <t>Barrett Business Orig ID:6520812977 Desc Date:260306 CO Entry Descr:Invoice Sec:CCD Trace#:091000015070582 Eed:260306 Ind ID:H37809391133902 Ind Name:, Trn: 0655070582Tc</t>
  </si>
  <si>
    <t>Barrett Business Orig ID:6520812977 Desc Date:260313 CO Entry Descr:Invoice Sec:CCD Trace#:091000015438167 Eed:260313 Ind ID:H37886791133902 Ind Name:, Trn: 0725438167Tc</t>
  </si>
  <si>
    <t>Barrett Business Orig ID:6520812977 Desc Date:260320 CO Entry Descr:Invoice Sec:CCD Trace#:091000014367083 Eed:260320 Ind ID:H37927091133902 Ind Name:, Trn: 0794367083Tc</t>
  </si>
  <si>
    <t>Barrett Business Orig ID:6520812977 Desc Date:260327 CO Entry Descr:Invoice Sec:CCD Trace#:091000011427510 Eed:260327 Ind ID:H38001291133902 Ind Name:, Trn: 0861427510Tc</t>
  </si>
  <si>
    <t>CA Dept Tax Fee Orig ID:2822162215 Desc Date:260131 CO Entry Descr:Cdtfa Epmtsec:Web Trace#:042000019083336 Eed:260202 Ind ID:23305998 Ind Name: &amp; Tire Trn: 0339083336Tc</t>
  </si>
  <si>
    <t>CA Dept Tax Fee Orig ID:2822162215 Desc Date:260224 CO Entry Descr:Cdtfa Epmtsec:CCD Trace#:042000019072348 Eed:260225 Ind ID:23845346 Ind Name:, Trn: 0569072348Tc</t>
  </si>
  <si>
    <t>CA Dept Tax Fee Orig ID:2822162215 Desc Date:260324 CO Entry Descr:Cdtfa Epmtsec:Web Trace#:042000011328287 Eed:260324 Ind ID:23901671 Ind Name: &amp; Tire Trn: 0831328287Tc</t>
  </si>
  <si>
    <t>Calsavers ACH Orig ID:1625958000 Desc Date:020626 CO Entry Descr:Payroll Sec:CCD Trace#:021000020888616 Eed:260206 Ind ID:4036672 Ind Name:200003 01949635 Trn: 0370888616Tc</t>
  </si>
  <si>
    <t>Calsavers ACH Orig ID:1625958000 Desc Date:020626 CO Entry Descr:Payroll Sec:CCD Trace#:021000020888909 Eed:260206 Ind ID:4038723 Ind Name:200003 01949635 Trn: 0370888909Tc</t>
  </si>
  <si>
    <t>Calsavers ACH Orig ID:1625958000 Desc Date:021226 CO Entry Descr:Payroll Sec:CCD Trace#:021000027871795 Eed:260212 Ind ID:4054775 Ind Name:200003 01949635 Trn: 0437871795Tc</t>
  </si>
  <si>
    <t>Calsavers ACH Orig ID:1625958000 Desc Date:022026 CO Entry Descr:Payroll Sec:CCD Trace#:021000023102925 Eed:260220 Ind ID:4085518 Ind Name:200003 01949635 Trn: 0513102925Tc</t>
  </si>
  <si>
    <t>Calsavers ACH Orig ID:1625958000 Desc Date:022726 CO Entry Descr:Payroll Sec:CCD Trace#:021000022503421 Eed:260227 Ind ID:4111510 Ind Name:200003 01949635 Trn: 0582503421Tc</t>
  </si>
  <si>
    <t>Calsavers ACH Orig ID:1625958000 Desc Date:031126 CO Entry Descr:Payroll Sec:CCD Trace#:021000029555842 Eed:260311 Ind ID:4158164 Ind Name:200003 01949635 Trn: 0709555842Tc</t>
  </si>
  <si>
    <t>Calsavers ACH Orig ID:1625958000 Desc Date:031126 CO Entry Descr:Payroll Sec:CCD Trace#:021000029556034 Eed:260311 Ind ID:4159413 Ind Name:200003 01949635 Trn: 0709556034Tc</t>
  </si>
  <si>
    <t>Capital One Orig ID:9541719318 Desc Date: CO Entry Descr:Crcardpmt Sec:CCD Trace#:021000028698571 Eed:260316 Ind ID:CA015290Bf7D1F2 Ind Name: Trn: 0758698571Tc</t>
  </si>
  <si>
    <t>Capital One Orig ID:9541719318 Desc Date: CO Entry Descr:Crcardpmt Sec:CCD Trace#:056073614597633 Eed:260217 Ind ID:CA03948E4F42Fb4 Ind Name: Trn: 0484597633Tc</t>
  </si>
  <si>
    <t>Chase Credit Crd Orig ID:4760039224 Desc Date:260219 CO Entry Descr:Autopaybussec:PPD Trace#:021000025593534 Eed:260220 Ind ID: Ind Name:Trn: 0515593534Tc</t>
  </si>
  <si>
    <t>Chase Credit Crd Orig ID:4760039224 Desc Date:260219 CO Entry Descr:Autopaybussec:PPD Trace#:021000025594006 Eed:260220 Ind ID: Ind Name:Trn: 0515594006Tc</t>
  </si>
  <si>
    <t>Chase Credit Crd Orig ID:4760039224 Desc Date:260319 CO Entry Descr:Autopaybussec:PPD Trace#:021000026418677 Eed:260320 Ind ID: Ind Name:Trn: 0796418677Tc</t>
  </si>
  <si>
    <t>Chase Credit Crd Orig ID:4760039224 Desc Date:260319 CO Entry Descr:Autopaybussec:PPD Trace#:021000026419159 Eed:260320 Ind ID: Ind Name:Trn: 0796419159Tc</t>
  </si>
  <si>
    <t>Choice Admin Orig ID:0330115986 Desc Date:260220 CO Entry Descr:Onlin Pmntsec:Web Trace#:122234147557598 Eed:260223 Ind ID:82305301 Ind Name: Epayment Trn: 0547557598Tc</t>
  </si>
  <si>
    <t>Choice Admin Orig ID:0330115986 Desc Date:260320 CO Entry Descr:Onlin Pmntsec:Web Trace#:122234147865030 Eed:260323 Ind ID:82756492 Ind Name: Epayment Trn: 0827865030Tc</t>
  </si>
  <si>
    <t>Cintascorporatio Orig ID:1311188630 Desc Date: CO Entry Descr:67Eaa77A3Dsec:CCD Trace#:242071750749460 Eed:260223 Ind ID:1001441718 Ind Name:Luther's Truck &amp; Equip Trn: 0540749460Tc</t>
  </si>
  <si>
    <t>Cintascorporatio Orig ID:1311188630 Desc Date: CO Entry Descr:67Eaa77A3Dsec:CCD Trace#:242071755915157 Eed:260306 Ind ID:1001443518 Ind Name:Luther's Truck &amp; Equip Trn: 0655915157Tc</t>
  </si>
  <si>
    <t>Citi Autopay Orig ID:Citicardap Desc Date:260220 CO Entry Descr:Payment Sec:PPD Trace#:091409687709702 Eed:260223 Ind ID: Ind Name: Trn: 0547709702Tc</t>
  </si>
  <si>
    <t>Citi Autopay Orig ID:Citicardap Desc Date:260320 CO Entry Descr:Payment Sec:PPD Trace#:091409687618801 Eed:260323 Ind ID: Ind Name: Trn: 0827618801Tc</t>
  </si>
  <si>
    <t>Colonial Life Orig ID:9061856000 Desc Date: CO Entry Descr:Pay-IN Forsec:CCD Trace#:021000023099662 Eed:260220 Ind ID:130564234774249 Ind Name: I Ur1Helkj0Elzdmz Trn: 0513099662Tc</t>
  </si>
  <si>
    <t>Colonial Life Orig ID:9061856000 Desc Date: CO Entry Descr:Pay-IN Forsec:CCD Trace#:021000029158692 Eed:260317 Ind ID:132722929269962 Ind Name: I Lffuzwgur78Fhxu Trn: 0769158692Tc</t>
  </si>
  <si>
    <t>First Insurance Orig ID:2363437365 Desc Date: CO Entry Descr:Insurance Sec:CCD Trace#:071925332401463 Eed:260220 Ind ID:900-106057987 Ind Name: I Pbs ACH Debit Trn: 0512401463Tc</t>
  </si>
  <si>
    <t>First Insurance Orig ID:2363437365 Desc Date: CO Entry Descr:Insurance Sec:CCD Trace#:071925332401464 Eed:260220 Ind ID:900-105441703 Ind Name: I Pbs ACH Debit Trn: 0512401464Tc</t>
  </si>
  <si>
    <t>First Insurance Orig ID:2363437365 Desc Date: CO Entry Descr:Insurance Sec:CCD Trace#:071925337832595 Eed:260325 Ind ID:900-105441703 Ind Name: I Pbs ACH Debit Trn: 0847832595Tc</t>
  </si>
  <si>
    <t>First Insurance Orig ID:2363437365 Desc Date: CO Entry Descr:Insurance Sec:CCD Trace#:071925337832597 Eed:260325 Ind ID:900-106057987 Ind Name: I Pbs ACH Debit Trn: 0847832597Tc</t>
  </si>
  <si>
    <t>Genuine Parts CO Orig ID:6580254510 Desc Date:020626 CO Entry Descr:Bt0206 Sec:CCD Trace#:111000029294004 Eed:260209 Ind ID:000000347596598 Ind Name: Genuine Trn: 0409294004Tc</t>
  </si>
  <si>
    <t>Genuine Parts CO Orig ID:6580254510 Desc Date:022426 CO Entry Descr:Bt0224 Sec:CCD Trace#:111000023503650 Eed:260225 Ind ID:000000348932859 Ind Name: Genuine Trn: 0563503650Tc</t>
  </si>
  <si>
    <t>Genuine Parts CO Orig ID:6580254510 Desc Date:031626 CO Entry Descr:Bt0316 Sec:CCD Trace#:111000028988823 Eed:260317 Ind ID:000000350628818 Ind Name: Genuine Trn: 0768988823Tc</t>
  </si>
  <si>
    <t>Intuit Orig ID:0000756346 Desc Date:260208 CO Entry Descr:Qbooks Onlsec:CCD Trace#:021000021099861 Eed:260209 Ind ID:3641586 Ind Name: 800-446-8848 Trn: 0401099861Tc</t>
  </si>
  <si>
    <t>Intuit Orig ID:0000756346 Desc Date:260308 CO Entry Descr:Qbooks Onlsec:CCD Trace#:021000028762539 Eed:260309 Ind ID:3380844 Ind Name: 800-446-8848 Trn: 0688762539Tc</t>
  </si>
  <si>
    <t>Paymentech Orig ID:1020401225 Desc Date:260202 CO Entry Descr:Fee Sec:CCD Trace#:021000027849160 Eed:260202 Ind ID:5809548 Ind Name: Trn: 0337849160Tc</t>
  </si>
  <si>
    <t>Paymentech Orig ID:1020401225 Desc Date:260302 CO Entry Descr:Fee Sec:CCD Trace#:021000025740521 Eed:260302 Ind ID:5809548 Ind Name: Trn: 0615740521Tc</t>
  </si>
  <si>
    <t>SC Fuels Orig ID:E330488996 Desc Date:260209 CO Entry Descr:Inv Pymts Sec:Web Trace#:042000019463607 Eed:260210 Ind ID:Fuelsc000065159 Ind Name:Bujandaalbert Trn: 0419463607Tc</t>
  </si>
  <si>
    <t>SC Fuels Orig ID:E330488996 Desc Date:260302 CO Entry Descr:Inv Pymts Sec:Web Trace#:042000010203848 Eed:260303 Ind ID:Fuelsc000066007 Ind Name:Bujandaalbert Trn: 0620203848Tc</t>
  </si>
  <si>
    <t>SC Fuels Orig ID:E330488996 Desc Date:260324 CO Entry Descr:Inv Pymts Sec:Web Trace#:042000017759504 Eed:260325 Ind ID:Fuelsc000066883 Ind Name:Bujandaalbert Trn: 0847759504Tc</t>
  </si>
  <si>
    <t>So Cal Edison CO Orig ID:4951240335 Desc Date:260209 CO Entry Descr:Bill Paymtsec:Web Trace#:091000014383889 Eed:260210 Ind ID:700725047762 Ind Name: I Trn: 0414383889Tc</t>
  </si>
  <si>
    <t>So Cal Edison CO Orig ID:4951240335 Desc Date:260306 CO Entry Descr:Bill Paymtsec:Web Trace#:091000012959388 Eed:260309 Ind ID:700725047762 Ind Name: I Trn: 0682959388Tc</t>
  </si>
  <si>
    <t>St of CA Dmv Orig ID:1680311348 Desc Date:260223 CO Entry Descr:Internet Sec:Web Trace#:042000010945018 Eed:260224 Ind ID:103707794260223 Ind Name: Batch 0000004 260223 Trn: 0550945018Tc</t>
  </si>
  <si>
    <t>Transamerica Orig ID:1390989781 Desc Date: 07Ind CO Entry Descr:Inspaymentsec:PPD Trace#:091000016112847 Eed:260205 Ind ID: Ind Name: Trn: 0366112847Tc</t>
  </si>
  <si>
    <t>Transamerica Orig ID:1390989781 Desc Date: 07Ind CO Entry Descr:Inspaymentsec:PPD Trace#:091000019709653 Eed:260305 Ind ID: Ind Name: Trn: 0649709653Tc</t>
  </si>
  <si>
    <t>Usbequipfinance Orig ID:9800000157 Desc Date:030226 CO Entry Descr:Cntrct Pmtsec:CCD Trace#:042000015612326 Eed:260302 Ind ID:550-0079227-000 Ind Name: I Trn: 0615612326Tc</t>
  </si>
  <si>
    <t>Usbequipfinance Orig ID:9800000157 Desc Date:033026 CO Entry Descr:Cntrct Pmtsec:CCD Trace#:042000011477801 Eed:260330 Ind ID:550-0079227-000 Ind Name: I Trn: 0891477801Tc</t>
  </si>
  <si>
    <t>Payment Sent 02/25 Wu Digital USA Aft 8003256000 CA Card 8738</t>
  </si>
  <si>
    <t>Payment To Chase Card Ending IN 1320</t>
  </si>
  <si>
    <t>Payment To Chase Card Ending IN 1545</t>
  </si>
  <si>
    <t>Zelle Payment To Action True Value Jpm99C478K49</t>
  </si>
  <si>
    <t>Zelle Payment To Atg Jpm99C541G41</t>
  </si>
  <si>
    <t>Zelle Payment To Brandon Beer Jpm99C5Cnetr</t>
  </si>
  <si>
    <t>Zelle Payment To Bruce Tire 28459886429</t>
  </si>
  <si>
    <t>Zelle Payment To Dtis Bloomington Jpm99C8Rliha</t>
  </si>
  <si>
    <t>Zelle Payment To Dtis Bloomington Jpm99C8Szql7</t>
  </si>
  <si>
    <t>Zelle Payment To Fix A Turbo Jpm99C5P5Qfg</t>
  </si>
  <si>
    <t>Zelle Payment To Fix A Turbo Jpm99C87Rnup</t>
  </si>
  <si>
    <t>Zelle Payment To Fix A Turbo Jpm99C8Rsolw</t>
  </si>
  <si>
    <t>Zelle Payment To Fix A Turbo Jpm99C8Syvyv</t>
  </si>
  <si>
    <t>Zelle Payment To Fix A Turbo Jpm99Caqmz7S</t>
  </si>
  <si>
    <t>Zelle Payment To Industrial Fire Protection CO. Jpm99C587Rxf</t>
  </si>
  <si>
    <t>Zelle Payment To Jose Renee Garcia 28544815602</t>
  </si>
  <si>
    <t>Zelle Payment To L &amp; L Transmissions. Jpm99Caob0Pq</t>
  </si>
  <si>
    <t>Zelle Payment To Morris Pest Management Jpm99C55Kve2</t>
  </si>
  <si>
    <t>Zelle Payment To Morris Pest Management Jpm99C8L5Gda</t>
  </si>
  <si>
    <t>Zelle Payment To Transmissions Only Jpm99C4Pydgz</t>
  </si>
  <si>
    <t>Zelle Payment To Walter Stepahead 27967201948</t>
  </si>
  <si>
    <t>Zelle Payment To Yucaipa Pool And Spa 27538319154</t>
  </si>
  <si>
    <t>Zelle Payment To Yucaipa Pool And Spa 27906523824</t>
  </si>
  <si>
    <t>Zelle Payment To Yucaipa Window Tint Jpm99C8Vvphh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</si>
</sst>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">
    <xf numFmtId="0" fontId="0" fillId="0" borderId="0" xfId="0"/>
    <xf numFmtId="14" fontId="0" fillId="0" borderId="0" xfId="0" applyNumberFormat="1"/>
    <xf numFmtId="44" fontId="0" fillId="0" borderId="0" xfId="0" applyNumberFormat="1"/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G220"/>
  <sheetViews>
    <sheetView tabSelected="1" workbookViewId="0">
      <selection activeCell="D17" sqref="D17"/>
    </sheetView>
  </sheetViews>
  <sheetFormatPr defaultRowHeight="14.5" x14ac:dyDescent="0.35"/>
  <cols>
    <col min="2" max="2" width="10.1796875" bestFit="1" customWidth="1"/>
    <col min="4" max="4" width="255.08984375" bestFit="1" customWidth="1"/>
    <col min="5" max="5" width="5.26953125" bestFit="1" customWidth="1"/>
    <col min="6" max="7" width="13.1796875" style="2" bestFit="1" customWidth="1"/>
  </cols>
  <sheetData>
    <row r="1" spans="2:7" x14ac:dyDescent="0.35">
      <c r="E1" t="s">
        <v>0</v>
      </c>
      <c r="F1" s="2">
        <f>F3-F2</f>
        <v>0</v>
      </c>
      <c r="G1" s="2">
        <f>G3-G2</f>
        <v>0</v>
      </c>
    </row>
    <row r="2" spans="2:7" x14ac:dyDescent="0.35">
      <c r="E2" t="s">
        <v>1</v>
      </c>
      <c r="F2" s="2">
        <f>247066.41+289878.1</f>
        <v>536944.51</v>
      </c>
      <c r="G2" s="2">
        <f>40596.11+224011.12+50095.02+804.43+252315.88</f>
        <v>567822.56000000006</v>
      </c>
    </row>
    <row r="3" spans="2:7" x14ac:dyDescent="0.35">
      <c r="E3" t="s">
        <v>2</v>
      </c>
      <c r="F3" s="2">
        <f>SUM(F6:F220)</f>
        <v>536944.51</v>
      </c>
      <c r="G3" s="2">
        <f t="shared" ref="G3" si="0">SUM(G6:G220)</f>
        <v>567822.55999999982</v>
      </c>
    </row>
    <row r="5" spans="2:7" x14ac:dyDescent="0.35">
      <c r="B5" t="s">
        <v>3</v>
      </c>
      <c r="D5" t="s">
        <v>4</v>
      </c>
      <c r="F5" s="2" t="s">
        <v>5</v>
      </c>
    </row>
    <row r="6" spans="2:7" x14ac:dyDescent="0.35">
      <c r="B6" s="1">
        <v>46091</v>
      </c>
      <c r="C6" s="1"/>
      <c r="D6" t="s">
        <v>6</v>
      </c>
      <c r="F6" s="2">
        <v>4081.18</v>
      </c>
      <c r="G6" s="2">
        <v>0</v>
      </c>
    </row>
    <row r="7" spans="2:7" x14ac:dyDescent="0.35">
      <c r="B7" s="1">
        <v>46083</v>
      </c>
      <c r="C7" s="1"/>
      <c r="D7" t="s">
        <v>6</v>
      </c>
      <c r="F7" s="2">
        <v>1252.3900000000001</v>
      </c>
      <c r="G7" s="2">
        <v>0</v>
      </c>
    </row>
    <row r="8" spans="2:7" x14ac:dyDescent="0.35">
      <c r="B8" s="1">
        <v>46062</v>
      </c>
      <c r="C8" s="1"/>
      <c r="D8" t="s">
        <v>6</v>
      </c>
      <c r="F8" s="2">
        <v>2658.79</v>
      </c>
      <c r="G8" s="2">
        <v>0</v>
      </c>
    </row>
    <row r="9" spans="2:7" x14ac:dyDescent="0.35">
      <c r="B9" s="1">
        <v>46071</v>
      </c>
      <c r="C9" s="1"/>
      <c r="D9" t="s">
        <v>6</v>
      </c>
      <c r="F9" s="2">
        <v>581.98</v>
      </c>
      <c r="G9" s="2">
        <v>0</v>
      </c>
    </row>
    <row r="10" spans="2:7" x14ac:dyDescent="0.35">
      <c r="B10" s="1">
        <v>46098</v>
      </c>
      <c r="C10" s="1"/>
      <c r="D10" t="s">
        <v>6</v>
      </c>
      <c r="F10" s="2">
        <v>195.63</v>
      </c>
      <c r="G10" s="2">
        <v>0</v>
      </c>
    </row>
    <row r="11" spans="2:7" x14ac:dyDescent="0.35">
      <c r="B11" s="1">
        <v>46112</v>
      </c>
      <c r="C11" s="1"/>
      <c r="D11" t="s">
        <v>6</v>
      </c>
      <c r="F11" s="2">
        <v>4428.88</v>
      </c>
      <c r="G11" s="2">
        <v>0</v>
      </c>
    </row>
    <row r="12" spans="2:7" x14ac:dyDescent="0.35">
      <c r="B12" s="1">
        <v>46084</v>
      </c>
      <c r="C12" s="1"/>
      <c r="D12" t="s">
        <v>7</v>
      </c>
      <c r="F12" s="2">
        <v>4376.09</v>
      </c>
      <c r="G12" s="2">
        <v>0</v>
      </c>
    </row>
    <row r="13" spans="2:7" x14ac:dyDescent="0.35">
      <c r="B13" s="1">
        <v>46087</v>
      </c>
      <c r="C13" s="1"/>
      <c r="D13" t="s">
        <v>7</v>
      </c>
      <c r="F13" s="2">
        <v>1638.74</v>
      </c>
      <c r="G13" s="2">
        <v>0</v>
      </c>
    </row>
    <row r="14" spans="2:7" x14ac:dyDescent="0.35">
      <c r="B14" s="1">
        <v>46092</v>
      </c>
      <c r="C14" s="1"/>
      <c r="D14" t="s">
        <v>7</v>
      </c>
      <c r="F14" s="2">
        <v>1160.5899999999999</v>
      </c>
      <c r="G14" s="2">
        <v>0</v>
      </c>
    </row>
    <row r="15" spans="2:7" x14ac:dyDescent="0.35">
      <c r="B15" s="1">
        <v>46092</v>
      </c>
      <c r="C15" s="1"/>
      <c r="D15" t="s">
        <v>7</v>
      </c>
      <c r="F15" s="2">
        <v>440.28</v>
      </c>
      <c r="G15" s="2">
        <v>0</v>
      </c>
    </row>
    <row r="16" spans="2:7" x14ac:dyDescent="0.35">
      <c r="B16" s="1">
        <v>46071</v>
      </c>
      <c r="C16" s="1"/>
      <c r="D16" t="s">
        <v>7</v>
      </c>
      <c r="F16" s="2">
        <v>1154.02</v>
      </c>
      <c r="G16" s="2">
        <v>0</v>
      </c>
    </row>
    <row r="17" spans="2:7" x14ac:dyDescent="0.35">
      <c r="B17" s="1">
        <v>46057</v>
      </c>
      <c r="C17" s="1"/>
      <c r="D17" t="s">
        <v>7</v>
      </c>
      <c r="F17" s="2">
        <v>9245.82</v>
      </c>
      <c r="G17" s="2">
        <v>0</v>
      </c>
    </row>
    <row r="18" spans="2:7" x14ac:dyDescent="0.35">
      <c r="B18" s="1">
        <v>46056</v>
      </c>
      <c r="C18" s="1"/>
      <c r="D18" t="s">
        <v>7</v>
      </c>
      <c r="F18" s="2">
        <v>816.76</v>
      </c>
      <c r="G18" s="2">
        <v>0</v>
      </c>
    </row>
    <row r="19" spans="2:7" x14ac:dyDescent="0.35">
      <c r="B19" s="1">
        <v>46093</v>
      </c>
      <c r="C19" s="1"/>
      <c r="D19" t="s">
        <v>7</v>
      </c>
      <c r="F19" s="2">
        <v>237.52</v>
      </c>
      <c r="G19" s="2">
        <v>0</v>
      </c>
    </row>
    <row r="20" spans="2:7" x14ac:dyDescent="0.35">
      <c r="B20" s="1">
        <v>46090</v>
      </c>
      <c r="C20" s="1"/>
      <c r="D20" t="s">
        <v>7</v>
      </c>
      <c r="F20" s="2">
        <v>1847.97</v>
      </c>
      <c r="G20" s="2">
        <v>0</v>
      </c>
    </row>
    <row r="21" spans="2:7" x14ac:dyDescent="0.35">
      <c r="B21" s="1">
        <v>46085</v>
      </c>
      <c r="C21" s="1"/>
      <c r="D21" t="s">
        <v>7</v>
      </c>
      <c r="F21" s="2">
        <v>389.13</v>
      </c>
      <c r="G21" s="2">
        <v>0</v>
      </c>
    </row>
    <row r="22" spans="2:7" x14ac:dyDescent="0.35">
      <c r="B22" s="1">
        <v>46100</v>
      </c>
      <c r="C22" s="1"/>
      <c r="D22" t="s">
        <v>7</v>
      </c>
      <c r="F22" s="2">
        <v>323.02999999999997</v>
      </c>
      <c r="G22" s="2">
        <v>0</v>
      </c>
    </row>
    <row r="23" spans="2:7" x14ac:dyDescent="0.35">
      <c r="B23" s="1">
        <v>46059</v>
      </c>
      <c r="C23" s="1"/>
      <c r="D23" t="s">
        <v>7</v>
      </c>
      <c r="F23" s="2">
        <v>6888.87</v>
      </c>
      <c r="G23" s="2">
        <v>0</v>
      </c>
    </row>
    <row r="24" spans="2:7" x14ac:dyDescent="0.35">
      <c r="B24" s="1">
        <v>46062</v>
      </c>
      <c r="C24" s="1"/>
      <c r="D24" t="s">
        <v>7</v>
      </c>
      <c r="F24" s="2">
        <v>1594.23</v>
      </c>
      <c r="G24" s="2">
        <v>0</v>
      </c>
    </row>
    <row r="25" spans="2:7" x14ac:dyDescent="0.35">
      <c r="B25" s="1">
        <v>46091</v>
      </c>
      <c r="C25" s="1"/>
      <c r="D25" t="s">
        <v>7</v>
      </c>
      <c r="F25" s="2">
        <v>2941.25</v>
      </c>
      <c r="G25" s="2">
        <v>0</v>
      </c>
    </row>
    <row r="26" spans="2:7" x14ac:dyDescent="0.35">
      <c r="B26" s="1">
        <v>46063</v>
      </c>
      <c r="C26" s="1"/>
      <c r="D26" t="s">
        <v>7</v>
      </c>
      <c r="F26" s="2">
        <v>8413.4599999999991</v>
      </c>
      <c r="G26" s="2">
        <v>0</v>
      </c>
    </row>
    <row r="27" spans="2:7" x14ac:dyDescent="0.35">
      <c r="B27" s="1">
        <v>46070</v>
      </c>
      <c r="C27" s="1"/>
      <c r="D27" t="s">
        <v>7</v>
      </c>
      <c r="F27" s="2">
        <v>370.82</v>
      </c>
      <c r="G27" s="2">
        <v>0</v>
      </c>
    </row>
    <row r="28" spans="2:7" x14ac:dyDescent="0.35">
      <c r="B28" s="1">
        <v>46077</v>
      </c>
      <c r="C28" s="1"/>
      <c r="D28" t="s">
        <v>7</v>
      </c>
      <c r="F28" s="2">
        <v>7533.29</v>
      </c>
      <c r="G28" s="2">
        <v>0</v>
      </c>
    </row>
    <row r="29" spans="2:7" x14ac:dyDescent="0.35">
      <c r="B29" s="1">
        <v>46076</v>
      </c>
      <c r="C29" s="1"/>
      <c r="D29" t="s">
        <v>7</v>
      </c>
      <c r="F29" s="2">
        <v>1313.85</v>
      </c>
      <c r="G29" s="2">
        <v>0</v>
      </c>
    </row>
    <row r="30" spans="2:7" x14ac:dyDescent="0.35">
      <c r="B30" s="1">
        <v>46105</v>
      </c>
      <c r="C30" s="1"/>
      <c r="D30" t="s">
        <v>7</v>
      </c>
      <c r="F30" s="2">
        <v>3559.56</v>
      </c>
      <c r="G30" s="2">
        <v>0</v>
      </c>
    </row>
    <row r="31" spans="2:7" x14ac:dyDescent="0.35">
      <c r="B31" s="1">
        <v>46107</v>
      </c>
      <c r="C31" s="1"/>
      <c r="D31" t="s">
        <v>7</v>
      </c>
      <c r="F31" s="2">
        <v>7165.43</v>
      </c>
      <c r="G31" s="2">
        <v>0</v>
      </c>
    </row>
    <row r="32" spans="2:7" x14ac:dyDescent="0.35">
      <c r="B32" s="1">
        <v>46083</v>
      </c>
      <c r="C32" s="1"/>
      <c r="D32" t="s">
        <v>7</v>
      </c>
      <c r="F32" s="2">
        <v>315.72000000000003</v>
      </c>
      <c r="G32" s="2">
        <v>0</v>
      </c>
    </row>
    <row r="33" spans="2:7" x14ac:dyDescent="0.35">
      <c r="B33" s="1">
        <v>46080</v>
      </c>
      <c r="C33" s="1"/>
      <c r="D33" t="s">
        <v>7</v>
      </c>
      <c r="F33" s="2">
        <v>6853.67</v>
      </c>
      <c r="G33" s="2">
        <v>0</v>
      </c>
    </row>
    <row r="34" spans="2:7" x14ac:dyDescent="0.35">
      <c r="B34" s="1">
        <v>46073</v>
      </c>
      <c r="C34" s="1"/>
      <c r="D34" t="s">
        <v>7</v>
      </c>
      <c r="F34" s="2">
        <v>1151.1300000000001</v>
      </c>
      <c r="G34" s="2">
        <v>0</v>
      </c>
    </row>
    <row r="35" spans="2:7" x14ac:dyDescent="0.35">
      <c r="B35" s="1">
        <v>46066</v>
      </c>
      <c r="C35" s="1"/>
      <c r="D35" t="s">
        <v>7</v>
      </c>
      <c r="F35" s="2">
        <v>161.52000000000001</v>
      </c>
      <c r="G35" s="2">
        <v>0</v>
      </c>
    </row>
    <row r="36" spans="2:7" x14ac:dyDescent="0.35">
      <c r="B36" s="1">
        <v>46097</v>
      </c>
      <c r="C36" s="1"/>
      <c r="D36" t="s">
        <v>7</v>
      </c>
      <c r="F36" s="2">
        <v>113.01</v>
      </c>
      <c r="G36" s="2">
        <v>0</v>
      </c>
    </row>
    <row r="37" spans="2:7" x14ac:dyDescent="0.35">
      <c r="B37" s="1">
        <v>46058</v>
      </c>
      <c r="C37" s="1"/>
      <c r="D37" t="s">
        <v>7</v>
      </c>
      <c r="F37" s="2">
        <v>9447.65</v>
      </c>
      <c r="G37" s="2">
        <v>0</v>
      </c>
    </row>
    <row r="38" spans="2:7" x14ac:dyDescent="0.35">
      <c r="B38" s="1">
        <v>46112</v>
      </c>
      <c r="C38" s="1"/>
      <c r="D38" t="s">
        <v>7</v>
      </c>
      <c r="F38" s="2">
        <v>1711.12</v>
      </c>
      <c r="G38" s="2">
        <v>0</v>
      </c>
    </row>
    <row r="39" spans="2:7" x14ac:dyDescent="0.35">
      <c r="B39" s="1">
        <v>46098</v>
      </c>
      <c r="C39" s="1"/>
      <c r="D39" t="s">
        <v>7</v>
      </c>
      <c r="F39" s="2">
        <v>2527.61</v>
      </c>
      <c r="G39" s="2">
        <v>0</v>
      </c>
    </row>
    <row r="40" spans="2:7" x14ac:dyDescent="0.35">
      <c r="B40" s="1">
        <v>46106</v>
      </c>
      <c r="C40" s="1"/>
      <c r="D40" t="s">
        <v>7</v>
      </c>
      <c r="F40" s="2">
        <v>413.44</v>
      </c>
      <c r="G40" s="2">
        <v>0</v>
      </c>
    </row>
    <row r="41" spans="2:7" x14ac:dyDescent="0.35">
      <c r="B41" s="1">
        <v>46094</v>
      </c>
      <c r="C41" s="1"/>
      <c r="D41" t="s">
        <v>7</v>
      </c>
      <c r="F41" s="2">
        <v>5908.32</v>
      </c>
      <c r="G41" s="2">
        <v>0</v>
      </c>
    </row>
    <row r="42" spans="2:7" x14ac:dyDescent="0.35">
      <c r="B42" s="1">
        <v>46055</v>
      </c>
      <c r="C42" s="1"/>
      <c r="D42" t="s">
        <v>8</v>
      </c>
      <c r="F42" s="2">
        <v>772.46</v>
      </c>
      <c r="G42" s="2">
        <v>0</v>
      </c>
    </row>
    <row r="43" spans="2:7" x14ac:dyDescent="0.35">
      <c r="B43" s="1">
        <v>46056</v>
      </c>
      <c r="C43" s="1"/>
      <c r="D43" t="s">
        <v>8</v>
      </c>
      <c r="F43" s="2">
        <v>3767.96</v>
      </c>
      <c r="G43" s="2">
        <v>0</v>
      </c>
    </row>
    <row r="44" spans="2:7" x14ac:dyDescent="0.35">
      <c r="B44" s="1">
        <v>46057</v>
      </c>
      <c r="C44" s="1"/>
      <c r="D44" t="s">
        <v>8</v>
      </c>
      <c r="F44" s="2">
        <v>1777.04</v>
      </c>
      <c r="G44" s="2">
        <v>0</v>
      </c>
    </row>
    <row r="45" spans="2:7" x14ac:dyDescent="0.35">
      <c r="B45" s="1">
        <v>46058</v>
      </c>
      <c r="C45" s="1"/>
      <c r="D45" t="s">
        <v>8</v>
      </c>
      <c r="F45" s="2">
        <v>1495.66</v>
      </c>
      <c r="G45" s="2">
        <v>0</v>
      </c>
    </row>
    <row r="46" spans="2:7" x14ac:dyDescent="0.35">
      <c r="B46" s="1">
        <v>46062</v>
      </c>
      <c r="C46" s="1"/>
      <c r="D46" t="s">
        <v>8</v>
      </c>
      <c r="F46" s="2">
        <v>5421.61</v>
      </c>
      <c r="G46" s="2">
        <v>0</v>
      </c>
    </row>
    <row r="47" spans="2:7" x14ac:dyDescent="0.35">
      <c r="B47" s="1">
        <v>46064</v>
      </c>
      <c r="C47" s="1"/>
      <c r="D47" t="s">
        <v>8</v>
      </c>
      <c r="F47" s="2">
        <v>116.12</v>
      </c>
      <c r="G47" s="2">
        <v>0</v>
      </c>
    </row>
    <row r="48" spans="2:7" x14ac:dyDescent="0.35">
      <c r="B48" s="1">
        <v>46066</v>
      </c>
      <c r="C48" s="1"/>
      <c r="D48" t="s">
        <v>8</v>
      </c>
      <c r="F48" s="2">
        <v>496.28</v>
      </c>
      <c r="G48" s="2">
        <v>0</v>
      </c>
    </row>
    <row r="49" spans="2:7" x14ac:dyDescent="0.35">
      <c r="B49" s="1">
        <v>46072</v>
      </c>
      <c r="C49" s="1"/>
      <c r="D49" t="s">
        <v>8</v>
      </c>
      <c r="F49" s="2">
        <v>1737.39</v>
      </c>
      <c r="G49" s="2">
        <v>0</v>
      </c>
    </row>
    <row r="50" spans="2:7" x14ac:dyDescent="0.35">
      <c r="B50" s="1">
        <v>46073</v>
      </c>
      <c r="C50" s="1"/>
      <c r="D50" t="s">
        <v>8</v>
      </c>
      <c r="F50" s="2">
        <v>360</v>
      </c>
      <c r="G50" s="2">
        <v>0</v>
      </c>
    </row>
    <row r="51" spans="2:7" x14ac:dyDescent="0.35">
      <c r="B51" s="1">
        <v>46076</v>
      </c>
      <c r="C51" s="1"/>
      <c r="D51" t="s">
        <v>8</v>
      </c>
      <c r="F51" s="2">
        <v>6008.59</v>
      </c>
      <c r="G51" s="2">
        <v>0</v>
      </c>
    </row>
    <row r="52" spans="2:7" x14ac:dyDescent="0.35">
      <c r="B52" s="1">
        <v>46080</v>
      </c>
      <c r="C52" s="1"/>
      <c r="D52" t="s">
        <v>8</v>
      </c>
      <c r="F52" s="2">
        <v>1158.04</v>
      </c>
      <c r="G52" s="2">
        <v>0</v>
      </c>
    </row>
    <row r="53" spans="2:7" x14ac:dyDescent="0.35">
      <c r="B53" s="1">
        <v>46083</v>
      </c>
      <c r="C53" s="1"/>
      <c r="D53" t="s">
        <v>8</v>
      </c>
      <c r="F53" s="2">
        <v>200</v>
      </c>
      <c r="G53" s="2">
        <v>0</v>
      </c>
    </row>
    <row r="54" spans="2:7" x14ac:dyDescent="0.35">
      <c r="B54" s="1">
        <v>46086</v>
      </c>
      <c r="C54" s="1"/>
      <c r="D54" t="s">
        <v>8</v>
      </c>
      <c r="F54" s="2">
        <v>2477.69</v>
      </c>
      <c r="G54" s="2">
        <v>0</v>
      </c>
    </row>
    <row r="55" spans="2:7" x14ac:dyDescent="0.35">
      <c r="B55" s="1">
        <v>46090</v>
      </c>
      <c r="C55" s="1"/>
      <c r="D55" t="s">
        <v>8</v>
      </c>
      <c r="F55" s="2">
        <v>12343.1</v>
      </c>
      <c r="G55" s="2">
        <v>0</v>
      </c>
    </row>
    <row r="56" spans="2:7" x14ac:dyDescent="0.35">
      <c r="B56" s="1">
        <v>46093</v>
      </c>
      <c r="C56" s="1"/>
      <c r="D56" t="s">
        <v>8</v>
      </c>
      <c r="F56" s="2">
        <v>445</v>
      </c>
      <c r="G56" s="2">
        <v>0</v>
      </c>
    </row>
    <row r="57" spans="2:7" x14ac:dyDescent="0.35">
      <c r="B57" s="1">
        <v>46094</v>
      </c>
      <c r="C57" s="1"/>
      <c r="D57" t="s">
        <v>8</v>
      </c>
      <c r="F57" s="2">
        <v>184.07</v>
      </c>
      <c r="G57" s="2">
        <v>0</v>
      </c>
    </row>
    <row r="58" spans="2:7" x14ac:dyDescent="0.35">
      <c r="B58" s="1">
        <v>46097</v>
      </c>
      <c r="C58" s="1"/>
      <c r="D58" t="s">
        <v>8</v>
      </c>
      <c r="F58" s="2">
        <v>499.99</v>
      </c>
      <c r="G58" s="2">
        <v>0</v>
      </c>
    </row>
    <row r="59" spans="2:7" x14ac:dyDescent="0.35">
      <c r="B59" s="1">
        <v>46101</v>
      </c>
      <c r="C59" s="1"/>
      <c r="D59" t="s">
        <v>8</v>
      </c>
      <c r="F59" s="2">
        <v>1483.99</v>
      </c>
      <c r="G59" s="2">
        <v>0</v>
      </c>
    </row>
    <row r="60" spans="2:7" x14ac:dyDescent="0.35">
      <c r="B60" s="1">
        <v>46104</v>
      </c>
      <c r="C60" s="1"/>
      <c r="D60" t="s">
        <v>8</v>
      </c>
      <c r="F60" s="2">
        <v>9201.9699999999993</v>
      </c>
      <c r="G60" s="2">
        <v>0</v>
      </c>
    </row>
    <row r="61" spans="2:7" x14ac:dyDescent="0.35">
      <c r="B61" s="1">
        <v>46104</v>
      </c>
      <c r="C61" s="1"/>
      <c r="D61" t="s">
        <v>8</v>
      </c>
      <c r="F61" s="2">
        <v>2048.19</v>
      </c>
      <c r="G61" s="2">
        <v>0</v>
      </c>
    </row>
    <row r="62" spans="2:7" x14ac:dyDescent="0.35">
      <c r="B62" s="1">
        <v>46106</v>
      </c>
      <c r="C62" s="1"/>
      <c r="D62" t="s">
        <v>8</v>
      </c>
      <c r="F62" s="2">
        <v>2962.55</v>
      </c>
      <c r="G62" s="2">
        <v>0</v>
      </c>
    </row>
    <row r="63" spans="2:7" x14ac:dyDescent="0.35">
      <c r="B63" s="1">
        <v>46111</v>
      </c>
      <c r="C63" s="1"/>
      <c r="D63" t="s">
        <v>8</v>
      </c>
      <c r="F63" s="2">
        <v>9555.0499999999993</v>
      </c>
      <c r="G63" s="2">
        <v>0</v>
      </c>
    </row>
    <row r="64" spans="2:7" x14ac:dyDescent="0.35">
      <c r="B64" s="1">
        <v>46093</v>
      </c>
      <c r="C64" s="1"/>
      <c r="D64" t="s">
        <v>9</v>
      </c>
      <c r="F64" s="2">
        <v>72200.02</v>
      </c>
      <c r="G64" s="2">
        <v>0</v>
      </c>
    </row>
    <row r="65" spans="2:7" x14ac:dyDescent="0.35">
      <c r="B65" s="1">
        <v>46100</v>
      </c>
      <c r="C65" s="1"/>
      <c r="D65" t="s">
        <v>9</v>
      </c>
      <c r="F65" s="2">
        <v>49663.25</v>
      </c>
      <c r="G65" s="2">
        <v>0</v>
      </c>
    </row>
    <row r="66" spans="2:7" x14ac:dyDescent="0.35">
      <c r="B66" s="1">
        <v>46079</v>
      </c>
      <c r="C66" s="1"/>
      <c r="D66" t="s">
        <v>9</v>
      </c>
      <c r="F66" s="2">
        <v>44707.97</v>
      </c>
      <c r="G66" s="2">
        <v>0</v>
      </c>
    </row>
    <row r="67" spans="2:7" x14ac:dyDescent="0.35">
      <c r="B67" s="1">
        <v>46086</v>
      </c>
      <c r="C67" s="1"/>
      <c r="D67" t="s">
        <v>9</v>
      </c>
      <c r="F67" s="2">
        <v>34859.5</v>
      </c>
      <c r="G67" s="2">
        <v>0</v>
      </c>
    </row>
    <row r="68" spans="2:7" x14ac:dyDescent="0.35">
      <c r="B68" s="1">
        <v>46065</v>
      </c>
      <c r="C68" s="1"/>
      <c r="D68" t="s">
        <v>9</v>
      </c>
      <c r="F68" s="2">
        <v>33712.800000000003</v>
      </c>
      <c r="G68" s="2">
        <v>0</v>
      </c>
    </row>
    <row r="69" spans="2:7" x14ac:dyDescent="0.35">
      <c r="B69" s="1">
        <v>46107</v>
      </c>
      <c r="C69" s="1"/>
      <c r="D69" t="s">
        <v>9</v>
      </c>
      <c r="F69" s="2">
        <v>32798.089999999997</v>
      </c>
      <c r="G69" s="2">
        <v>0</v>
      </c>
    </row>
    <row r="70" spans="2:7" x14ac:dyDescent="0.35">
      <c r="B70" s="1">
        <v>46072</v>
      </c>
      <c r="C70" s="1"/>
      <c r="D70" t="s">
        <v>9</v>
      </c>
      <c r="F70" s="2">
        <v>31991.91</v>
      </c>
      <c r="G70" s="2">
        <v>0</v>
      </c>
    </row>
    <row r="71" spans="2:7" x14ac:dyDescent="0.35">
      <c r="B71" s="1">
        <v>46058</v>
      </c>
      <c r="C71" s="1"/>
      <c r="D71" t="s">
        <v>9</v>
      </c>
      <c r="F71" s="2">
        <v>27491.61</v>
      </c>
      <c r="G71" s="2">
        <v>0</v>
      </c>
    </row>
    <row r="72" spans="2:7" x14ac:dyDescent="0.35">
      <c r="B72" s="1">
        <v>46077</v>
      </c>
      <c r="C72" s="1"/>
      <c r="D72" t="s">
        <v>10</v>
      </c>
      <c r="F72" s="2">
        <v>1200</v>
      </c>
      <c r="G72" s="2">
        <v>0</v>
      </c>
    </row>
    <row r="73" spans="2:7" x14ac:dyDescent="0.35">
      <c r="B73" s="1">
        <v>46073</v>
      </c>
      <c r="C73" s="1"/>
      <c r="D73" t="s">
        <v>11</v>
      </c>
      <c r="F73" s="2">
        <v>2000</v>
      </c>
      <c r="G73" s="2">
        <v>0</v>
      </c>
    </row>
    <row r="74" spans="2:7" x14ac:dyDescent="0.35">
      <c r="B74" s="1">
        <v>46070</v>
      </c>
      <c r="C74" s="1"/>
      <c r="D74" t="s">
        <v>12</v>
      </c>
      <c r="F74" s="2">
        <v>582</v>
      </c>
      <c r="G74" s="2">
        <v>0</v>
      </c>
    </row>
    <row r="75" spans="2:7" x14ac:dyDescent="0.35">
      <c r="B75" s="1">
        <v>46057</v>
      </c>
      <c r="C75" s="1"/>
      <c r="D75" t="s">
        <v>13</v>
      </c>
      <c r="F75" s="2">
        <v>1286.44</v>
      </c>
      <c r="G75" s="2">
        <v>0</v>
      </c>
    </row>
    <row r="76" spans="2:7" x14ac:dyDescent="0.35">
      <c r="B76" s="1">
        <v>46055</v>
      </c>
      <c r="C76" s="1"/>
      <c r="D76" t="s">
        <v>14</v>
      </c>
      <c r="F76" s="2">
        <v>5000</v>
      </c>
      <c r="G76" s="2">
        <v>0</v>
      </c>
    </row>
    <row r="77" spans="2:7" x14ac:dyDescent="0.35">
      <c r="B77" s="1">
        <v>46065</v>
      </c>
      <c r="C77" s="1"/>
      <c r="D77" t="s">
        <v>15</v>
      </c>
      <c r="F77" s="2">
        <v>1755.34</v>
      </c>
      <c r="G77" s="2">
        <v>0</v>
      </c>
    </row>
    <row r="78" spans="2:7" x14ac:dyDescent="0.35">
      <c r="B78" s="1">
        <v>46111</v>
      </c>
      <c r="C78" s="1"/>
      <c r="D78" t="s">
        <v>16</v>
      </c>
      <c r="F78" s="2">
        <v>750</v>
      </c>
      <c r="G78" s="2">
        <v>0</v>
      </c>
    </row>
    <row r="79" spans="2:7" x14ac:dyDescent="0.35">
      <c r="B79" s="1">
        <v>46083</v>
      </c>
      <c r="C79" s="1"/>
      <c r="D79" t="s">
        <v>17</v>
      </c>
      <c r="F79" s="2">
        <v>750</v>
      </c>
      <c r="G79" s="2">
        <v>0</v>
      </c>
    </row>
    <row r="80" spans="2:7" x14ac:dyDescent="0.35">
      <c r="B80" s="1">
        <v>46099</v>
      </c>
      <c r="C80" s="1"/>
      <c r="D80" t="s">
        <v>18</v>
      </c>
      <c r="F80" s="2">
        <v>1824.08</v>
      </c>
      <c r="G80" s="2">
        <v>0</v>
      </c>
    </row>
    <row r="81" spans="2:7" x14ac:dyDescent="0.35">
      <c r="B81" s="1">
        <v>46111</v>
      </c>
      <c r="C81" s="1"/>
      <c r="D81" t="s">
        <v>19</v>
      </c>
      <c r="F81" s="2">
        <v>1249.94</v>
      </c>
      <c r="G81" s="2">
        <v>0</v>
      </c>
    </row>
    <row r="82" spans="2:7" x14ac:dyDescent="0.35">
      <c r="B82" s="1">
        <v>46059</v>
      </c>
      <c r="C82" s="1"/>
      <c r="D82" t="s">
        <v>20</v>
      </c>
      <c r="F82" s="2">
        <v>1561.29</v>
      </c>
      <c r="G82" s="2">
        <v>0</v>
      </c>
    </row>
    <row r="83" spans="2:7" x14ac:dyDescent="0.35">
      <c r="B83" s="1">
        <v>46064</v>
      </c>
      <c r="C83" s="1"/>
      <c r="D83" t="s">
        <v>21</v>
      </c>
      <c r="F83" s="2">
        <v>50</v>
      </c>
      <c r="G83" s="2">
        <v>0</v>
      </c>
    </row>
    <row r="84" spans="2:7" x14ac:dyDescent="0.35">
      <c r="B84" s="1">
        <v>46093</v>
      </c>
      <c r="C84" s="1"/>
      <c r="D84" t="s">
        <v>22</v>
      </c>
      <c r="F84" s="2">
        <v>560</v>
      </c>
      <c r="G84" s="2">
        <v>0</v>
      </c>
    </row>
    <row r="85" spans="2:7" x14ac:dyDescent="0.35">
      <c r="B85" s="1">
        <v>46084</v>
      </c>
      <c r="C85" s="1"/>
      <c r="D85" t="s">
        <v>23</v>
      </c>
      <c r="F85" s="2">
        <v>195</v>
      </c>
      <c r="G85" s="2">
        <v>0</v>
      </c>
    </row>
    <row r="86" spans="2:7" x14ac:dyDescent="0.35">
      <c r="B86" s="1">
        <v>46090</v>
      </c>
      <c r="C86" s="1"/>
      <c r="D86" t="s">
        <v>24</v>
      </c>
      <c r="F86" s="2">
        <v>581.48</v>
      </c>
      <c r="G86" s="2">
        <v>0</v>
      </c>
    </row>
    <row r="87" spans="2:7" x14ac:dyDescent="0.35">
      <c r="B87" s="1">
        <v>46078</v>
      </c>
      <c r="C87" s="1"/>
      <c r="D87" t="s">
        <v>25</v>
      </c>
      <c r="F87" s="2">
        <v>250</v>
      </c>
      <c r="G87" s="2">
        <v>0</v>
      </c>
    </row>
    <row r="88" spans="2:7" x14ac:dyDescent="0.35">
      <c r="B88" s="1">
        <v>46086</v>
      </c>
      <c r="C88" s="1"/>
      <c r="D88" t="s">
        <v>26</v>
      </c>
      <c r="F88" s="2">
        <v>250</v>
      </c>
      <c r="G88" s="2">
        <v>0</v>
      </c>
    </row>
    <row r="89" spans="2:7" x14ac:dyDescent="0.35">
      <c r="B89" s="1">
        <v>46058</v>
      </c>
      <c r="C89" s="1"/>
      <c r="D89" t="s">
        <v>26</v>
      </c>
      <c r="F89" s="2">
        <v>250</v>
      </c>
      <c r="G89" s="2">
        <v>0</v>
      </c>
    </row>
    <row r="90" spans="2:7" x14ac:dyDescent="0.35">
      <c r="B90" s="1">
        <v>46091</v>
      </c>
      <c r="C90" s="1"/>
      <c r="D90" t="s">
        <v>27</v>
      </c>
      <c r="F90" s="2">
        <v>1326.81</v>
      </c>
      <c r="G90" s="2">
        <v>0</v>
      </c>
    </row>
    <row r="91" spans="2:7" x14ac:dyDescent="0.35">
      <c r="B91" s="1">
        <v>46065</v>
      </c>
      <c r="C91" s="1"/>
      <c r="D91" t="s">
        <v>28</v>
      </c>
      <c r="F91" s="2">
        <v>250</v>
      </c>
      <c r="G91" s="2">
        <v>0</v>
      </c>
    </row>
    <row r="92" spans="2:7" x14ac:dyDescent="0.35">
      <c r="B92" s="1">
        <v>46072</v>
      </c>
      <c r="C92" s="1"/>
      <c r="D92" t="s">
        <v>29</v>
      </c>
      <c r="F92" s="2">
        <v>3041.27</v>
      </c>
      <c r="G92" s="2">
        <v>0</v>
      </c>
    </row>
    <row r="93" spans="2:7" x14ac:dyDescent="0.35">
      <c r="B93" s="1">
        <v>46091</v>
      </c>
      <c r="C93" s="1"/>
      <c r="D93" t="s">
        <v>30</v>
      </c>
      <c r="F93" s="2">
        <v>802.5</v>
      </c>
      <c r="G93" s="2">
        <v>0</v>
      </c>
    </row>
    <row r="94" spans="2:7" x14ac:dyDescent="0.35">
      <c r="B94" s="1">
        <v>46097</v>
      </c>
      <c r="C94" s="1"/>
      <c r="D94" t="s">
        <v>31</v>
      </c>
      <c r="F94" s="2">
        <v>1012</v>
      </c>
      <c r="G94" s="2">
        <v>0</v>
      </c>
    </row>
    <row r="95" spans="2:7" x14ac:dyDescent="0.35">
      <c r="B95" s="1">
        <v>46097</v>
      </c>
      <c r="C95" s="1"/>
      <c r="D95" t="s">
        <v>32</v>
      </c>
      <c r="F95" s="2">
        <v>500</v>
      </c>
      <c r="G95" s="2">
        <v>0</v>
      </c>
    </row>
    <row r="96" spans="2:7" x14ac:dyDescent="0.35">
      <c r="B96" s="1">
        <v>46056</v>
      </c>
      <c r="C96" s="1"/>
      <c r="D96" t="s">
        <v>32</v>
      </c>
      <c r="F96" s="2">
        <v>250</v>
      </c>
      <c r="G96" s="2">
        <v>0</v>
      </c>
    </row>
    <row r="97" spans="2:7" x14ac:dyDescent="0.35">
      <c r="B97" s="1">
        <v>46062</v>
      </c>
      <c r="C97" s="1"/>
      <c r="D97" t="s">
        <v>32</v>
      </c>
      <c r="F97" s="2">
        <v>250</v>
      </c>
      <c r="G97" s="2">
        <v>0</v>
      </c>
    </row>
    <row r="98" spans="2:7" x14ac:dyDescent="0.35">
      <c r="B98" s="1">
        <v>46063</v>
      </c>
      <c r="C98" s="1"/>
      <c r="D98" t="s">
        <v>32</v>
      </c>
      <c r="F98" s="2">
        <v>500</v>
      </c>
      <c r="G98" s="2">
        <v>0</v>
      </c>
    </row>
    <row r="99" spans="2:7" x14ac:dyDescent="0.35">
      <c r="B99" s="1">
        <v>46056</v>
      </c>
      <c r="C99" s="1"/>
      <c r="D99" t="s">
        <v>33</v>
      </c>
      <c r="F99" s="2">
        <v>3243.06</v>
      </c>
      <c r="G99" s="2">
        <v>0</v>
      </c>
    </row>
    <row r="100" spans="2:7" x14ac:dyDescent="0.35">
      <c r="B100" s="1">
        <v>46086</v>
      </c>
      <c r="C100" s="1"/>
      <c r="D100" t="s">
        <v>33</v>
      </c>
      <c r="F100" s="2">
        <v>2781.42</v>
      </c>
      <c r="G100" s="2">
        <v>0</v>
      </c>
    </row>
    <row r="101" spans="2:7" x14ac:dyDescent="0.35">
      <c r="B101" s="1">
        <v>46064</v>
      </c>
      <c r="C101" s="1"/>
      <c r="D101" t="s">
        <v>34</v>
      </c>
      <c r="F101" s="2">
        <v>390</v>
      </c>
      <c r="G101" s="2">
        <v>0</v>
      </c>
    </row>
    <row r="102" spans="2:7" x14ac:dyDescent="0.35">
      <c r="B102" s="1">
        <v>46094</v>
      </c>
      <c r="C102" s="1"/>
      <c r="D102" t="s">
        <v>35</v>
      </c>
      <c r="F102" s="2">
        <v>400</v>
      </c>
      <c r="G102" s="2">
        <v>0</v>
      </c>
    </row>
    <row r="103" spans="2:7" x14ac:dyDescent="0.35">
      <c r="B103" s="1">
        <v>46073</v>
      </c>
      <c r="C103" s="1"/>
      <c r="D103" t="s">
        <v>36</v>
      </c>
      <c r="F103" s="2">
        <v>673.26</v>
      </c>
      <c r="G103" s="2">
        <v>0</v>
      </c>
    </row>
    <row r="104" spans="2:7" x14ac:dyDescent="0.35">
      <c r="B104" s="1">
        <v>46059</v>
      </c>
      <c r="C104" s="1"/>
      <c r="D104" t="s">
        <v>37</v>
      </c>
      <c r="F104" s="2">
        <v>1000</v>
      </c>
      <c r="G104" s="2">
        <v>0</v>
      </c>
    </row>
    <row r="105" spans="2:7" x14ac:dyDescent="0.35">
      <c r="B105" s="1">
        <v>46062</v>
      </c>
      <c r="C105" s="1"/>
      <c r="D105" t="s">
        <v>38</v>
      </c>
      <c r="F105" s="2">
        <v>610.76</v>
      </c>
      <c r="G105" s="2">
        <v>0</v>
      </c>
    </row>
    <row r="106" spans="2:7" x14ac:dyDescent="0.35">
      <c r="B106" s="1">
        <v>46059</v>
      </c>
      <c r="C106" s="1"/>
      <c r="D106" t="s">
        <v>39</v>
      </c>
      <c r="F106" s="2">
        <v>819.7</v>
      </c>
      <c r="G106" s="2">
        <v>0</v>
      </c>
    </row>
    <row r="107" spans="2:7" x14ac:dyDescent="0.35">
      <c r="B107" s="1">
        <v>46097</v>
      </c>
      <c r="C107" s="1"/>
      <c r="D107" t="s">
        <v>40</v>
      </c>
      <c r="F107" s="2">
        <v>20</v>
      </c>
      <c r="G107" s="2">
        <v>0</v>
      </c>
    </row>
    <row r="108" spans="2:7" x14ac:dyDescent="0.35">
      <c r="B108" s="1">
        <v>46063</v>
      </c>
      <c r="C108" s="1"/>
      <c r="D108" t="s">
        <v>41</v>
      </c>
      <c r="F108" s="2">
        <v>858.91</v>
      </c>
      <c r="G108" s="2">
        <v>0</v>
      </c>
    </row>
    <row r="109" spans="2:7" x14ac:dyDescent="0.35">
      <c r="B109" s="1">
        <v>46101</v>
      </c>
      <c r="C109" s="1"/>
      <c r="D109" t="s">
        <v>41</v>
      </c>
      <c r="F109" s="2">
        <v>843.02</v>
      </c>
      <c r="G109" s="2">
        <v>0</v>
      </c>
    </row>
    <row r="110" spans="2:7" x14ac:dyDescent="0.35">
      <c r="B110" s="1">
        <v>46077</v>
      </c>
      <c r="C110" s="1"/>
      <c r="D110" t="s">
        <v>42</v>
      </c>
      <c r="F110" s="2">
        <v>1698.08</v>
      </c>
      <c r="G110" s="2">
        <v>0</v>
      </c>
    </row>
    <row r="111" spans="2:7" x14ac:dyDescent="0.35">
      <c r="B111" s="1">
        <v>46083</v>
      </c>
      <c r="C111" s="1"/>
      <c r="D111" t="s">
        <v>43</v>
      </c>
      <c r="F111" s="2">
        <v>82.5</v>
      </c>
      <c r="G111" s="2">
        <v>0</v>
      </c>
    </row>
    <row r="112" spans="2:7" x14ac:dyDescent="0.35">
      <c r="B112" s="1">
        <v>46064</v>
      </c>
      <c r="C112" s="1"/>
      <c r="D112" t="s">
        <v>44</v>
      </c>
      <c r="F112" s="2">
        <v>345</v>
      </c>
      <c r="G112" s="2">
        <v>0</v>
      </c>
    </row>
    <row r="113" spans="2:7" x14ac:dyDescent="0.35">
      <c r="B113" s="1"/>
      <c r="C113" s="1"/>
    </row>
    <row r="114" spans="2:7" x14ac:dyDescent="0.35">
      <c r="B114" s="1">
        <v>46064</v>
      </c>
      <c r="C114" s="1"/>
      <c r="D114" t="s">
        <v>45</v>
      </c>
      <c r="E114">
        <v>2745</v>
      </c>
      <c r="F114" s="2">
        <v>0</v>
      </c>
      <c r="G114" s="2">
        <v>688</v>
      </c>
    </row>
    <row r="115" spans="2:7" x14ac:dyDescent="0.35">
      <c r="B115" s="1">
        <v>46064</v>
      </c>
      <c r="C115" s="1"/>
      <c r="D115" t="s">
        <v>46</v>
      </c>
      <c r="E115">
        <v>2746</v>
      </c>
      <c r="F115" s="2">
        <v>0</v>
      </c>
      <c r="G115" s="2">
        <v>418</v>
      </c>
    </row>
    <row r="116" spans="2:7" x14ac:dyDescent="0.35">
      <c r="B116" s="1">
        <v>46059</v>
      </c>
      <c r="C116" s="1"/>
      <c r="D116" t="s">
        <v>47</v>
      </c>
      <c r="E116">
        <v>2748</v>
      </c>
      <c r="F116" s="2">
        <v>0</v>
      </c>
      <c r="G116" s="2">
        <v>1940</v>
      </c>
    </row>
    <row r="117" spans="2:7" x14ac:dyDescent="0.35">
      <c r="B117" s="1">
        <v>46057</v>
      </c>
      <c r="C117" s="1"/>
      <c r="D117" t="s">
        <v>48</v>
      </c>
      <c r="E117">
        <v>2750</v>
      </c>
      <c r="F117" s="2">
        <v>0</v>
      </c>
      <c r="G117" s="2">
        <v>1434.6</v>
      </c>
    </row>
    <row r="118" spans="2:7" x14ac:dyDescent="0.35">
      <c r="B118" s="1">
        <v>46055</v>
      </c>
      <c r="C118" s="1"/>
      <c r="D118" t="s">
        <v>49</v>
      </c>
      <c r="E118">
        <v>2751</v>
      </c>
      <c r="F118" s="2">
        <v>0</v>
      </c>
      <c r="G118" s="2">
        <v>2475</v>
      </c>
    </row>
    <row r="119" spans="2:7" x14ac:dyDescent="0.35">
      <c r="B119" s="1">
        <v>46062</v>
      </c>
      <c r="C119" s="1"/>
      <c r="D119" t="s">
        <v>50</v>
      </c>
      <c r="E119">
        <v>2752</v>
      </c>
      <c r="F119" s="2">
        <v>0</v>
      </c>
      <c r="G119" s="2">
        <v>1250</v>
      </c>
    </row>
    <row r="120" spans="2:7" x14ac:dyDescent="0.35">
      <c r="B120" s="1">
        <v>46062</v>
      </c>
      <c r="C120" s="1"/>
      <c r="D120" t="s">
        <v>51</v>
      </c>
      <c r="E120">
        <v>2753</v>
      </c>
      <c r="F120" s="2">
        <v>0</v>
      </c>
      <c r="G120" s="2">
        <v>4189.42</v>
      </c>
    </row>
    <row r="121" spans="2:7" x14ac:dyDescent="0.35">
      <c r="B121" s="1">
        <v>46055</v>
      </c>
      <c r="C121" s="1"/>
      <c r="D121" t="s">
        <v>52</v>
      </c>
      <c r="E121">
        <v>2754</v>
      </c>
      <c r="F121" s="2">
        <v>0</v>
      </c>
      <c r="G121" s="2">
        <v>2800</v>
      </c>
    </row>
    <row r="122" spans="2:7" x14ac:dyDescent="0.35">
      <c r="B122" s="1">
        <v>46062</v>
      </c>
      <c r="C122" s="1"/>
      <c r="D122" t="s">
        <v>53</v>
      </c>
      <c r="E122">
        <v>2755</v>
      </c>
      <c r="F122" s="2">
        <v>0</v>
      </c>
      <c r="G122" s="2">
        <v>31000</v>
      </c>
    </row>
    <row r="123" spans="2:7" x14ac:dyDescent="0.35">
      <c r="B123" s="1">
        <v>46062</v>
      </c>
      <c r="C123" s="1"/>
      <c r="D123" t="s">
        <v>54</v>
      </c>
      <c r="E123">
        <v>2756</v>
      </c>
      <c r="F123" s="2">
        <v>0</v>
      </c>
      <c r="G123" s="2">
        <v>650</v>
      </c>
    </row>
    <row r="124" spans="2:7" x14ac:dyDescent="0.35">
      <c r="B124" s="1">
        <v>46070</v>
      </c>
      <c r="C124" s="1"/>
      <c r="D124" t="s">
        <v>55</v>
      </c>
      <c r="E124">
        <v>2757</v>
      </c>
      <c r="F124" s="2">
        <v>0</v>
      </c>
      <c r="G124" s="2">
        <v>550</v>
      </c>
    </row>
    <row r="125" spans="2:7" x14ac:dyDescent="0.35">
      <c r="B125" s="1">
        <v>46077</v>
      </c>
      <c r="C125" s="1"/>
      <c r="D125" t="s">
        <v>56</v>
      </c>
      <c r="E125">
        <v>2758</v>
      </c>
      <c r="F125" s="2">
        <v>0</v>
      </c>
      <c r="G125" s="2">
        <v>2700</v>
      </c>
    </row>
    <row r="126" spans="2:7" x14ac:dyDescent="0.35">
      <c r="B126" s="1">
        <v>46090</v>
      </c>
      <c r="C126" s="1"/>
      <c r="D126" t="s">
        <v>57</v>
      </c>
      <c r="E126">
        <v>2759</v>
      </c>
      <c r="F126" s="2">
        <v>0</v>
      </c>
      <c r="G126" s="2">
        <v>680</v>
      </c>
    </row>
    <row r="127" spans="2:7" x14ac:dyDescent="0.35">
      <c r="B127" s="1">
        <v>46090</v>
      </c>
      <c r="C127" s="1"/>
      <c r="D127" t="s">
        <v>58</v>
      </c>
      <c r="E127">
        <v>2760</v>
      </c>
      <c r="F127" s="2">
        <v>0</v>
      </c>
      <c r="G127" s="2">
        <v>31000</v>
      </c>
    </row>
    <row r="128" spans="2:7" x14ac:dyDescent="0.35">
      <c r="B128" s="1">
        <v>46098</v>
      </c>
      <c r="C128" s="1"/>
      <c r="D128" t="s">
        <v>59</v>
      </c>
      <c r="E128">
        <v>2761</v>
      </c>
      <c r="F128" s="2">
        <v>0</v>
      </c>
      <c r="G128" s="2">
        <v>345</v>
      </c>
    </row>
    <row r="129" spans="2:7" x14ac:dyDescent="0.35">
      <c r="B129" s="1">
        <v>46093</v>
      </c>
      <c r="C129" s="1"/>
      <c r="D129" t="s">
        <v>60</v>
      </c>
      <c r="E129">
        <v>2762</v>
      </c>
      <c r="F129" s="2">
        <v>0</v>
      </c>
      <c r="G129" s="2">
        <v>2875</v>
      </c>
    </row>
    <row r="130" spans="2:7" x14ac:dyDescent="0.35">
      <c r="B130" s="1">
        <v>46093</v>
      </c>
      <c r="C130" s="1"/>
      <c r="D130" t="s">
        <v>61</v>
      </c>
      <c r="E130">
        <v>2765</v>
      </c>
      <c r="F130" s="2">
        <v>0</v>
      </c>
      <c r="G130" s="2">
        <v>2900</v>
      </c>
    </row>
    <row r="131" spans="2:7" x14ac:dyDescent="0.35">
      <c r="B131" s="1">
        <v>46111</v>
      </c>
      <c r="C131" s="1"/>
      <c r="D131" t="s">
        <v>62</v>
      </c>
      <c r="E131">
        <v>2766</v>
      </c>
      <c r="F131" s="2">
        <v>0</v>
      </c>
      <c r="G131" s="2">
        <v>485</v>
      </c>
    </row>
    <row r="132" spans="2:7" x14ac:dyDescent="0.35">
      <c r="B132" s="1">
        <v>46084</v>
      </c>
      <c r="C132" s="1"/>
      <c r="D132" t="s">
        <v>63</v>
      </c>
      <c r="E132">
        <v>3226</v>
      </c>
      <c r="F132" s="2">
        <v>0</v>
      </c>
      <c r="G132" s="2">
        <v>2311.11</v>
      </c>
    </row>
    <row r="133" spans="2:7" x14ac:dyDescent="0.35">
      <c r="B133" s="1"/>
      <c r="C133" s="1"/>
      <c r="G133" s="2">
        <v>0</v>
      </c>
    </row>
    <row r="134" spans="2:7" x14ac:dyDescent="0.35">
      <c r="B134" s="1">
        <v>46055</v>
      </c>
      <c r="C134" s="1"/>
      <c r="D134" t="s">
        <v>64</v>
      </c>
      <c r="F134" s="2">
        <v>0</v>
      </c>
      <c r="G134" s="2">
        <v>530.51</v>
      </c>
    </row>
    <row r="135" spans="2:7" x14ac:dyDescent="0.35">
      <c r="B135" s="1">
        <v>46083</v>
      </c>
      <c r="C135" s="1"/>
      <c r="D135" t="s">
        <v>65</v>
      </c>
      <c r="F135" s="2">
        <v>0</v>
      </c>
      <c r="G135" s="2">
        <v>530.51</v>
      </c>
    </row>
    <row r="136" spans="2:7" x14ac:dyDescent="0.35">
      <c r="B136" s="1">
        <v>46071</v>
      </c>
      <c r="C136" s="1"/>
      <c r="D136" t="s">
        <v>66</v>
      </c>
      <c r="F136" s="2">
        <v>0</v>
      </c>
      <c r="G136" s="2">
        <v>2028</v>
      </c>
    </row>
    <row r="137" spans="2:7" x14ac:dyDescent="0.35">
      <c r="B137" s="1">
        <v>46099</v>
      </c>
      <c r="C137" s="1"/>
      <c r="D137" t="s">
        <v>67</v>
      </c>
      <c r="F137" s="2">
        <v>0</v>
      </c>
      <c r="G137" s="2">
        <v>2028</v>
      </c>
    </row>
    <row r="138" spans="2:7" x14ac:dyDescent="0.35">
      <c r="B138" s="1">
        <v>46055</v>
      </c>
      <c r="C138" s="1"/>
      <c r="D138" t="s">
        <v>68</v>
      </c>
      <c r="F138" s="2">
        <v>0</v>
      </c>
      <c r="G138" s="2">
        <v>69.98</v>
      </c>
    </row>
    <row r="139" spans="2:7" x14ac:dyDescent="0.35">
      <c r="B139" s="1">
        <v>46083</v>
      </c>
      <c r="C139" s="1"/>
      <c r="D139" t="s">
        <v>69</v>
      </c>
      <c r="F139" s="2">
        <v>0</v>
      </c>
      <c r="G139" s="2">
        <v>69.98</v>
      </c>
    </row>
    <row r="140" spans="2:7" x14ac:dyDescent="0.35">
      <c r="B140" s="1">
        <v>46059</v>
      </c>
      <c r="C140" s="1"/>
      <c r="D140" t="s">
        <v>70</v>
      </c>
      <c r="F140" s="2">
        <v>0</v>
      </c>
      <c r="G140" s="2">
        <v>26954.240000000002</v>
      </c>
    </row>
    <row r="141" spans="2:7" x14ac:dyDescent="0.35">
      <c r="B141" s="1">
        <v>46066</v>
      </c>
      <c r="C141" s="1"/>
      <c r="D141" t="s">
        <v>71</v>
      </c>
      <c r="F141" s="2">
        <v>0</v>
      </c>
      <c r="G141" s="2">
        <v>25641.86</v>
      </c>
    </row>
    <row r="142" spans="2:7" x14ac:dyDescent="0.35">
      <c r="B142" s="1">
        <v>46066</v>
      </c>
      <c r="C142" s="1"/>
      <c r="D142" t="s">
        <v>72</v>
      </c>
      <c r="F142" s="2">
        <v>0</v>
      </c>
      <c r="G142" s="2">
        <v>1165.77</v>
      </c>
    </row>
    <row r="143" spans="2:7" x14ac:dyDescent="0.35">
      <c r="B143" s="1">
        <v>46073</v>
      </c>
      <c r="C143" s="1"/>
      <c r="D143" t="s">
        <v>73</v>
      </c>
      <c r="F143" s="2">
        <v>0</v>
      </c>
      <c r="G143" s="2">
        <v>24029.96</v>
      </c>
    </row>
    <row r="144" spans="2:7" x14ac:dyDescent="0.35">
      <c r="B144" s="1">
        <v>46076</v>
      </c>
      <c r="C144" s="1"/>
      <c r="D144" t="s">
        <v>74</v>
      </c>
      <c r="F144" s="2">
        <v>0</v>
      </c>
      <c r="G144" s="2">
        <v>1144.6400000000001</v>
      </c>
    </row>
    <row r="145" spans="2:7" x14ac:dyDescent="0.35">
      <c r="B145" s="1">
        <v>46080</v>
      </c>
      <c r="C145" s="1"/>
      <c r="D145" t="s">
        <v>75</v>
      </c>
      <c r="F145" s="2">
        <v>0</v>
      </c>
      <c r="G145" s="2">
        <v>369.09</v>
      </c>
    </row>
    <row r="146" spans="2:7" x14ac:dyDescent="0.35">
      <c r="B146" s="1">
        <v>46080</v>
      </c>
      <c r="C146" s="1"/>
      <c r="D146" t="s">
        <v>76</v>
      </c>
      <c r="F146" s="2">
        <v>0</v>
      </c>
      <c r="G146" s="2">
        <v>24435.279999999999</v>
      </c>
    </row>
    <row r="147" spans="2:7" x14ac:dyDescent="0.35">
      <c r="B147" s="1">
        <v>46087</v>
      </c>
      <c r="C147" s="1"/>
      <c r="D147" t="s">
        <v>77</v>
      </c>
      <c r="F147" s="2">
        <v>0</v>
      </c>
      <c r="G147" s="2">
        <v>22952.57</v>
      </c>
    </row>
    <row r="148" spans="2:7" x14ac:dyDescent="0.35">
      <c r="B148" s="1">
        <v>46094</v>
      </c>
      <c r="C148" s="1"/>
      <c r="D148" t="s">
        <v>78</v>
      </c>
      <c r="F148" s="2">
        <v>0</v>
      </c>
      <c r="G148" s="2">
        <v>27391.89</v>
      </c>
    </row>
    <row r="149" spans="2:7" x14ac:dyDescent="0.35">
      <c r="B149" s="1">
        <v>46101</v>
      </c>
      <c r="C149" s="1"/>
      <c r="D149" t="s">
        <v>79</v>
      </c>
      <c r="F149" s="2">
        <v>0</v>
      </c>
      <c r="G149" s="2">
        <v>25551.41</v>
      </c>
    </row>
    <row r="150" spans="2:7" x14ac:dyDescent="0.35">
      <c r="B150" s="1">
        <v>46108</v>
      </c>
      <c r="C150" s="1"/>
      <c r="D150" t="s">
        <v>80</v>
      </c>
      <c r="F150" s="2">
        <v>0</v>
      </c>
      <c r="G150" s="2">
        <v>26224.71</v>
      </c>
    </row>
    <row r="151" spans="2:7" x14ac:dyDescent="0.35">
      <c r="B151" s="1">
        <v>46055</v>
      </c>
      <c r="C151" s="1"/>
      <c r="D151" t="s">
        <v>81</v>
      </c>
      <c r="F151" s="2">
        <v>0</v>
      </c>
      <c r="G151" s="2">
        <v>9221</v>
      </c>
    </row>
    <row r="152" spans="2:7" x14ac:dyDescent="0.35">
      <c r="B152" s="1">
        <v>46078</v>
      </c>
      <c r="C152" s="1"/>
      <c r="D152" t="s">
        <v>82</v>
      </c>
      <c r="F152" s="2">
        <v>0</v>
      </c>
      <c r="G152" s="2">
        <v>10767</v>
      </c>
    </row>
    <row r="153" spans="2:7" x14ac:dyDescent="0.35">
      <c r="B153" s="1">
        <v>46105</v>
      </c>
      <c r="C153" s="1"/>
      <c r="D153" t="s">
        <v>83</v>
      </c>
      <c r="F153" s="2">
        <v>0</v>
      </c>
      <c r="G153" s="2">
        <v>6397</v>
      </c>
    </row>
    <row r="154" spans="2:7" x14ac:dyDescent="0.35">
      <c r="B154" s="1">
        <v>46059</v>
      </c>
      <c r="C154" s="1"/>
      <c r="D154" t="s">
        <v>84</v>
      </c>
      <c r="F154" s="2">
        <v>0</v>
      </c>
      <c r="G154" s="2">
        <v>482.48</v>
      </c>
    </row>
    <row r="155" spans="2:7" x14ac:dyDescent="0.35">
      <c r="B155" s="1">
        <v>46059</v>
      </c>
      <c r="C155" s="1"/>
      <c r="D155" t="s">
        <v>85</v>
      </c>
      <c r="F155" s="2">
        <v>0</v>
      </c>
      <c r="G155" s="2">
        <v>502.97</v>
      </c>
    </row>
    <row r="156" spans="2:7" x14ac:dyDescent="0.35">
      <c r="B156" s="1">
        <v>46065</v>
      </c>
      <c r="C156" s="1"/>
      <c r="D156" t="s">
        <v>86</v>
      </c>
      <c r="F156" s="2">
        <v>0</v>
      </c>
      <c r="G156" s="2">
        <v>497.91</v>
      </c>
    </row>
    <row r="157" spans="2:7" x14ac:dyDescent="0.35">
      <c r="B157" s="1">
        <v>46073</v>
      </c>
      <c r="C157" s="1"/>
      <c r="D157" t="s">
        <v>87</v>
      </c>
      <c r="F157" s="2">
        <v>0</v>
      </c>
      <c r="G157" s="2">
        <v>491.56</v>
      </c>
    </row>
    <row r="158" spans="2:7" x14ac:dyDescent="0.35">
      <c r="B158" s="1">
        <v>46080</v>
      </c>
      <c r="C158" s="1"/>
      <c r="D158" t="s">
        <v>88</v>
      </c>
      <c r="F158" s="2">
        <v>0</v>
      </c>
      <c r="G158" s="2">
        <v>496.01</v>
      </c>
    </row>
    <row r="159" spans="2:7" x14ac:dyDescent="0.35">
      <c r="B159" s="1">
        <v>46092</v>
      </c>
      <c r="C159" s="1"/>
      <c r="D159" t="s">
        <v>89</v>
      </c>
      <c r="F159" s="2">
        <v>0</v>
      </c>
      <c r="G159" s="2">
        <v>487.93</v>
      </c>
    </row>
    <row r="160" spans="2:7" x14ac:dyDescent="0.35">
      <c r="B160" s="1">
        <v>46092</v>
      </c>
      <c r="C160" s="1"/>
      <c r="D160" t="s">
        <v>90</v>
      </c>
      <c r="F160" s="2">
        <v>0</v>
      </c>
      <c r="G160" s="2">
        <v>479.25</v>
      </c>
    </row>
    <row r="161" spans="2:7" x14ac:dyDescent="0.35">
      <c r="B161" s="1">
        <v>46097</v>
      </c>
      <c r="C161" s="1"/>
      <c r="D161" t="s">
        <v>91</v>
      </c>
      <c r="F161" s="2">
        <v>0</v>
      </c>
      <c r="G161" s="2">
        <v>46516.66</v>
      </c>
    </row>
    <row r="162" spans="2:7" x14ac:dyDescent="0.35">
      <c r="B162" s="1">
        <v>46070</v>
      </c>
      <c r="C162" s="1"/>
      <c r="D162" t="s">
        <v>92</v>
      </c>
      <c r="F162" s="2">
        <v>0</v>
      </c>
      <c r="G162" s="2">
        <v>67788.100000000006</v>
      </c>
    </row>
    <row r="163" spans="2:7" x14ac:dyDescent="0.35">
      <c r="B163" s="1">
        <v>46073</v>
      </c>
      <c r="C163" s="1"/>
      <c r="D163" t="s">
        <v>93</v>
      </c>
      <c r="F163" s="2">
        <v>0</v>
      </c>
      <c r="G163" s="2">
        <v>1555</v>
      </c>
    </row>
    <row r="164" spans="2:7" x14ac:dyDescent="0.35">
      <c r="B164" s="1">
        <v>46073</v>
      </c>
      <c r="C164" s="1"/>
      <c r="D164" t="s">
        <v>94</v>
      </c>
      <c r="F164" s="2">
        <v>0</v>
      </c>
      <c r="G164" s="2">
        <v>762</v>
      </c>
    </row>
    <row r="165" spans="2:7" x14ac:dyDescent="0.35">
      <c r="B165" s="1">
        <v>46101</v>
      </c>
      <c r="C165" s="1"/>
      <c r="D165" t="s">
        <v>95</v>
      </c>
      <c r="F165" s="2">
        <v>0</v>
      </c>
      <c r="G165" s="2">
        <v>1787</v>
      </c>
    </row>
    <row r="166" spans="2:7" x14ac:dyDescent="0.35">
      <c r="B166" s="1">
        <v>46101</v>
      </c>
      <c r="C166" s="1"/>
      <c r="D166" t="s">
        <v>96</v>
      </c>
      <c r="F166" s="2">
        <v>0</v>
      </c>
      <c r="G166" s="2">
        <v>475</v>
      </c>
    </row>
    <row r="167" spans="2:7" x14ac:dyDescent="0.35">
      <c r="B167" s="1">
        <v>46076</v>
      </c>
      <c r="C167" s="1"/>
      <c r="D167" t="s">
        <v>97</v>
      </c>
      <c r="F167" s="2">
        <v>0</v>
      </c>
      <c r="G167" s="2">
        <v>4694.2</v>
      </c>
    </row>
    <row r="168" spans="2:7" x14ac:dyDescent="0.35">
      <c r="B168" s="1">
        <v>46104</v>
      </c>
      <c r="C168" s="1"/>
      <c r="D168" t="s">
        <v>98</v>
      </c>
      <c r="F168" s="2">
        <v>0</v>
      </c>
      <c r="G168" s="2">
        <v>4694.2</v>
      </c>
    </row>
    <row r="169" spans="2:7" x14ac:dyDescent="0.35">
      <c r="B169" s="1">
        <v>46076</v>
      </c>
      <c r="C169" s="1"/>
      <c r="D169" t="s">
        <v>99</v>
      </c>
      <c r="F169" s="2">
        <v>0</v>
      </c>
      <c r="G169" s="2">
        <v>1785.96</v>
      </c>
    </row>
    <row r="170" spans="2:7" x14ac:dyDescent="0.35">
      <c r="B170" s="1">
        <v>46087</v>
      </c>
      <c r="C170" s="1"/>
      <c r="D170" t="s">
        <v>100</v>
      </c>
      <c r="F170" s="2">
        <v>0</v>
      </c>
      <c r="G170" s="2">
        <v>1206.24</v>
      </c>
    </row>
    <row r="171" spans="2:7" x14ac:dyDescent="0.35">
      <c r="B171" s="1">
        <v>46076</v>
      </c>
      <c r="C171" s="1"/>
      <c r="D171" t="s">
        <v>101</v>
      </c>
      <c r="F171" s="2">
        <v>0</v>
      </c>
      <c r="G171" s="2">
        <v>1314.68</v>
      </c>
    </row>
    <row r="172" spans="2:7" x14ac:dyDescent="0.35">
      <c r="B172" s="1">
        <v>46104</v>
      </c>
      <c r="C172" s="1"/>
      <c r="D172" t="s">
        <v>102</v>
      </c>
      <c r="F172" s="2">
        <v>0</v>
      </c>
      <c r="G172" s="2">
        <v>6225.03</v>
      </c>
    </row>
    <row r="173" spans="2:7" x14ac:dyDescent="0.35">
      <c r="B173" s="1">
        <v>46073</v>
      </c>
      <c r="C173" s="1"/>
      <c r="D173" t="s">
        <v>103</v>
      </c>
      <c r="F173" s="2">
        <v>0</v>
      </c>
      <c r="G173" s="2">
        <v>574.35</v>
      </c>
    </row>
    <row r="174" spans="2:7" x14ac:dyDescent="0.35">
      <c r="B174" s="1">
        <v>46098</v>
      </c>
      <c r="C174" s="1"/>
      <c r="D174" t="s">
        <v>104</v>
      </c>
      <c r="F174" s="2">
        <v>0</v>
      </c>
      <c r="G174" s="2">
        <v>574.35</v>
      </c>
    </row>
    <row r="175" spans="2:7" x14ac:dyDescent="0.35">
      <c r="B175" s="1">
        <v>46073</v>
      </c>
      <c r="C175" s="1"/>
      <c r="D175" t="s">
        <v>105</v>
      </c>
      <c r="F175" s="2">
        <v>0</v>
      </c>
      <c r="G175" s="2">
        <v>450.05</v>
      </c>
    </row>
    <row r="176" spans="2:7" x14ac:dyDescent="0.35">
      <c r="B176" s="1">
        <v>46073</v>
      </c>
      <c r="C176" s="1"/>
      <c r="D176" t="s">
        <v>106</v>
      </c>
      <c r="F176" s="2">
        <v>0</v>
      </c>
      <c r="G176" s="2">
        <v>917.01</v>
      </c>
    </row>
    <row r="177" spans="2:7" x14ac:dyDescent="0.35">
      <c r="B177" s="1">
        <v>46106</v>
      </c>
      <c r="C177" s="1"/>
      <c r="D177" t="s">
        <v>107</v>
      </c>
      <c r="F177" s="2">
        <v>0</v>
      </c>
      <c r="G177" s="2">
        <v>1805.35</v>
      </c>
    </row>
    <row r="178" spans="2:7" x14ac:dyDescent="0.35">
      <c r="B178" s="1">
        <v>46106</v>
      </c>
      <c r="C178" s="1"/>
      <c r="D178" t="s">
        <v>108</v>
      </c>
      <c r="F178" s="2">
        <v>0</v>
      </c>
      <c r="G178" s="2">
        <v>435.05</v>
      </c>
    </row>
    <row r="179" spans="2:7" x14ac:dyDescent="0.35">
      <c r="B179" s="1">
        <v>46062</v>
      </c>
      <c r="C179" s="1"/>
      <c r="D179" t="s">
        <v>109</v>
      </c>
      <c r="F179" s="2">
        <v>0</v>
      </c>
      <c r="G179" s="2">
        <v>3962.2</v>
      </c>
    </row>
    <row r="180" spans="2:7" x14ac:dyDescent="0.35">
      <c r="B180" s="1">
        <v>46078</v>
      </c>
      <c r="C180" s="1"/>
      <c r="D180" t="s">
        <v>110</v>
      </c>
      <c r="F180" s="2">
        <v>0</v>
      </c>
      <c r="G180" s="2">
        <v>1483.95</v>
      </c>
    </row>
    <row r="181" spans="2:7" x14ac:dyDescent="0.35">
      <c r="B181" s="1">
        <v>46098</v>
      </c>
      <c r="C181" s="1"/>
      <c r="D181" t="s">
        <v>111</v>
      </c>
      <c r="F181" s="2">
        <v>0</v>
      </c>
      <c r="G181" s="2">
        <v>1666.95</v>
      </c>
    </row>
    <row r="182" spans="2:7" x14ac:dyDescent="0.35">
      <c r="B182" s="1">
        <v>46062</v>
      </c>
      <c r="C182" s="1"/>
      <c r="D182" t="s">
        <v>112</v>
      </c>
      <c r="F182" s="2">
        <v>0</v>
      </c>
      <c r="G182" s="2">
        <v>275</v>
      </c>
    </row>
    <row r="183" spans="2:7" x14ac:dyDescent="0.35">
      <c r="B183" s="1">
        <v>46090</v>
      </c>
      <c r="C183" s="1"/>
      <c r="D183" t="s">
        <v>113</v>
      </c>
      <c r="F183" s="2">
        <v>0</v>
      </c>
      <c r="G183" s="2">
        <v>275</v>
      </c>
    </row>
    <row r="184" spans="2:7" x14ac:dyDescent="0.35">
      <c r="B184" s="1">
        <v>46055</v>
      </c>
      <c r="C184" s="1"/>
      <c r="D184" t="s">
        <v>114</v>
      </c>
      <c r="F184" s="2">
        <v>0</v>
      </c>
      <c r="G184" s="2">
        <v>9.9499999999999993</v>
      </c>
    </row>
    <row r="185" spans="2:7" x14ac:dyDescent="0.35">
      <c r="B185" s="1">
        <v>46083</v>
      </c>
      <c r="C185" s="1"/>
      <c r="D185" t="s">
        <v>115</v>
      </c>
      <c r="F185" s="2">
        <v>0</v>
      </c>
      <c r="G185" s="2">
        <v>9.9499999999999993</v>
      </c>
    </row>
    <row r="186" spans="2:7" x14ac:dyDescent="0.35">
      <c r="B186" s="1">
        <v>46063</v>
      </c>
      <c r="C186" s="1"/>
      <c r="D186" t="s">
        <v>116</v>
      </c>
      <c r="F186" s="2">
        <v>0</v>
      </c>
      <c r="G186" s="2">
        <v>857.79</v>
      </c>
    </row>
    <row r="187" spans="2:7" x14ac:dyDescent="0.35">
      <c r="B187" s="1">
        <v>46084</v>
      </c>
      <c r="C187" s="1"/>
      <c r="D187" t="s">
        <v>117</v>
      </c>
      <c r="F187" s="2">
        <v>0</v>
      </c>
      <c r="G187" s="2">
        <v>419.07</v>
      </c>
    </row>
    <row r="188" spans="2:7" x14ac:dyDescent="0.35">
      <c r="B188" s="1">
        <v>46106</v>
      </c>
      <c r="C188" s="1"/>
      <c r="D188" t="s">
        <v>118</v>
      </c>
      <c r="F188" s="2">
        <v>0</v>
      </c>
      <c r="G188" s="2">
        <v>894.25</v>
      </c>
    </row>
    <row r="189" spans="2:7" x14ac:dyDescent="0.35">
      <c r="B189" s="1">
        <v>46063</v>
      </c>
      <c r="C189" s="1"/>
      <c r="D189" t="s">
        <v>119</v>
      </c>
      <c r="F189" s="2">
        <v>0</v>
      </c>
      <c r="G189" s="2">
        <v>1447.96</v>
      </c>
    </row>
    <row r="190" spans="2:7" x14ac:dyDescent="0.35">
      <c r="B190" s="1">
        <v>46090</v>
      </c>
      <c r="C190" s="1"/>
      <c r="D190" t="s">
        <v>120</v>
      </c>
      <c r="F190" s="2">
        <v>0</v>
      </c>
      <c r="G190" s="2">
        <v>1612.98</v>
      </c>
    </row>
    <row r="191" spans="2:7" x14ac:dyDescent="0.35">
      <c r="B191" s="1">
        <v>46077</v>
      </c>
      <c r="C191" s="1"/>
      <c r="D191" t="s">
        <v>121</v>
      </c>
      <c r="F191" s="2">
        <v>0</v>
      </c>
      <c r="G191" s="2">
        <v>28</v>
      </c>
    </row>
    <row r="192" spans="2:7" x14ac:dyDescent="0.35">
      <c r="B192" s="1">
        <v>46058</v>
      </c>
      <c r="C192" s="1"/>
      <c r="D192" t="s">
        <v>122</v>
      </c>
      <c r="F192" s="2">
        <v>0</v>
      </c>
      <c r="G192" s="2">
        <v>228.67</v>
      </c>
    </row>
    <row r="193" spans="2:7" x14ac:dyDescent="0.35">
      <c r="B193" s="1">
        <v>46086</v>
      </c>
      <c r="C193" s="1"/>
      <c r="D193" t="s">
        <v>123</v>
      </c>
      <c r="F193" s="2">
        <v>0</v>
      </c>
      <c r="G193" s="2">
        <v>228.67</v>
      </c>
    </row>
    <row r="194" spans="2:7" x14ac:dyDescent="0.35">
      <c r="B194" s="1">
        <v>46083</v>
      </c>
      <c r="C194" s="1"/>
      <c r="D194" t="s">
        <v>124</v>
      </c>
      <c r="F194" s="2">
        <v>0</v>
      </c>
      <c r="G194" s="2">
        <v>1175.1600000000001</v>
      </c>
    </row>
    <row r="195" spans="2:7" x14ac:dyDescent="0.35">
      <c r="B195" s="1">
        <v>46111</v>
      </c>
      <c r="C195" s="1"/>
      <c r="D195" t="s">
        <v>125</v>
      </c>
      <c r="F195" s="2">
        <v>0</v>
      </c>
      <c r="G195" s="2">
        <v>1175.1600000000001</v>
      </c>
    </row>
    <row r="196" spans="2:7" x14ac:dyDescent="0.35">
      <c r="B196" s="1">
        <v>46079</v>
      </c>
      <c r="C196" s="1"/>
      <c r="D196" t="s">
        <v>126</v>
      </c>
      <c r="F196" s="2">
        <v>0</v>
      </c>
      <c r="G196" s="2">
        <v>804.43</v>
      </c>
    </row>
    <row r="197" spans="2:7" x14ac:dyDescent="0.35">
      <c r="B197" s="1">
        <v>46101</v>
      </c>
      <c r="C197" s="1"/>
      <c r="D197" t="s">
        <v>127</v>
      </c>
      <c r="F197" s="2">
        <v>0</v>
      </c>
      <c r="G197" s="2">
        <v>6771.8</v>
      </c>
    </row>
    <row r="198" spans="2:7" x14ac:dyDescent="0.35">
      <c r="B198" s="1">
        <v>46073</v>
      </c>
      <c r="C198" s="1"/>
      <c r="D198" t="s">
        <v>127</v>
      </c>
      <c r="F198" s="2">
        <v>0</v>
      </c>
      <c r="G198" s="2">
        <v>26555.7</v>
      </c>
    </row>
    <row r="199" spans="2:7" x14ac:dyDescent="0.35">
      <c r="B199" s="1">
        <v>46101</v>
      </c>
      <c r="C199" s="1"/>
      <c r="D199" t="s">
        <v>128</v>
      </c>
      <c r="F199" s="2">
        <v>0</v>
      </c>
      <c r="G199" s="2">
        <v>20000</v>
      </c>
    </row>
    <row r="200" spans="2:7" x14ac:dyDescent="0.35">
      <c r="B200" s="1">
        <v>46055</v>
      </c>
      <c r="C200" s="1"/>
      <c r="D200" t="s">
        <v>129</v>
      </c>
      <c r="F200" s="2">
        <v>0</v>
      </c>
      <c r="G200" s="2">
        <v>353.3</v>
      </c>
    </row>
    <row r="201" spans="2:7" x14ac:dyDescent="0.35">
      <c r="B201" s="1">
        <v>46062</v>
      </c>
      <c r="C201" s="1"/>
      <c r="D201" t="s">
        <v>130</v>
      </c>
      <c r="F201" s="2">
        <v>0</v>
      </c>
      <c r="G201" s="2">
        <v>65</v>
      </c>
    </row>
    <row r="202" spans="2:7" x14ac:dyDescent="0.35">
      <c r="B202" s="1">
        <v>46065</v>
      </c>
      <c r="C202" s="1"/>
      <c r="D202" t="s">
        <v>131</v>
      </c>
      <c r="F202" s="2">
        <v>0</v>
      </c>
      <c r="G202" s="2">
        <v>900</v>
      </c>
    </row>
    <row r="203" spans="2:7" x14ac:dyDescent="0.35">
      <c r="B203" s="1">
        <v>46097</v>
      </c>
      <c r="C203" s="1"/>
      <c r="D203" t="s">
        <v>132</v>
      </c>
      <c r="F203" s="2">
        <v>0</v>
      </c>
      <c r="G203" s="2">
        <v>810</v>
      </c>
    </row>
    <row r="204" spans="2:7" x14ac:dyDescent="0.35">
      <c r="B204" s="1">
        <v>46092</v>
      </c>
      <c r="C204" s="1"/>
      <c r="D204" t="s">
        <v>133</v>
      </c>
      <c r="F204" s="2">
        <v>0</v>
      </c>
      <c r="G204" s="2">
        <v>4000</v>
      </c>
    </row>
    <row r="205" spans="2:7" x14ac:dyDescent="0.35">
      <c r="B205" s="1">
        <v>46093</v>
      </c>
      <c r="C205" s="1"/>
      <c r="D205" t="s">
        <v>134</v>
      </c>
      <c r="F205" s="2">
        <v>0</v>
      </c>
      <c r="G205" s="2">
        <v>2000</v>
      </c>
    </row>
    <row r="206" spans="2:7" x14ac:dyDescent="0.35">
      <c r="B206" s="1">
        <v>46070</v>
      </c>
      <c r="C206" s="1"/>
      <c r="D206" t="s">
        <v>135</v>
      </c>
      <c r="F206" s="2">
        <v>0</v>
      </c>
      <c r="G206" s="2">
        <v>2175</v>
      </c>
    </row>
    <row r="207" spans="2:7" x14ac:dyDescent="0.35">
      <c r="B207" s="1">
        <v>46087</v>
      </c>
      <c r="C207" s="1"/>
      <c r="D207" t="s">
        <v>136</v>
      </c>
      <c r="F207" s="2">
        <v>0</v>
      </c>
      <c r="G207" s="2">
        <v>875</v>
      </c>
    </row>
    <row r="208" spans="2:7" x14ac:dyDescent="0.35">
      <c r="B208" s="1">
        <v>46092</v>
      </c>
      <c r="C208" s="1"/>
      <c r="D208" t="s">
        <v>137</v>
      </c>
      <c r="F208" s="2">
        <v>0</v>
      </c>
      <c r="G208" s="2">
        <v>1400</v>
      </c>
    </row>
    <row r="209" spans="2:7" x14ac:dyDescent="0.35">
      <c r="B209" s="1">
        <v>46093</v>
      </c>
      <c r="C209" s="1"/>
      <c r="D209" t="s">
        <v>138</v>
      </c>
      <c r="F209" s="2">
        <v>0</v>
      </c>
      <c r="G209" s="2">
        <v>200</v>
      </c>
    </row>
    <row r="210" spans="2:7" x14ac:dyDescent="0.35">
      <c r="B210" s="1">
        <v>46108</v>
      </c>
      <c r="C210" s="1"/>
      <c r="D210" t="s">
        <v>139</v>
      </c>
      <c r="F210" s="2">
        <v>0</v>
      </c>
      <c r="G210" s="2">
        <v>1400</v>
      </c>
    </row>
    <row r="211" spans="2:7" x14ac:dyDescent="0.35">
      <c r="B211" s="1">
        <v>46063</v>
      </c>
      <c r="C211" s="1"/>
      <c r="D211" t="s">
        <v>140</v>
      </c>
      <c r="F211" s="2">
        <v>0</v>
      </c>
      <c r="G211" s="2">
        <v>345</v>
      </c>
    </row>
    <row r="212" spans="2:7" x14ac:dyDescent="0.35">
      <c r="B212" s="1">
        <v>46104</v>
      </c>
      <c r="C212" s="1"/>
      <c r="D212" t="s">
        <v>141</v>
      </c>
      <c r="F212" s="2">
        <v>0</v>
      </c>
      <c r="G212" s="2">
        <v>493</v>
      </c>
    </row>
    <row r="213" spans="2:7" x14ac:dyDescent="0.35">
      <c r="B213" s="1">
        <v>46108</v>
      </c>
      <c r="C213" s="1"/>
      <c r="D213" t="s">
        <v>142</v>
      </c>
      <c r="F213" s="2">
        <v>0</v>
      </c>
      <c r="G213" s="2">
        <v>2067</v>
      </c>
    </row>
    <row r="214" spans="2:7" x14ac:dyDescent="0.35">
      <c r="B214" s="1">
        <v>46063</v>
      </c>
      <c r="C214" s="1"/>
      <c r="D214" t="s">
        <v>143</v>
      </c>
      <c r="F214" s="2">
        <v>0</v>
      </c>
      <c r="G214" s="2">
        <v>275</v>
      </c>
    </row>
    <row r="215" spans="2:7" x14ac:dyDescent="0.35">
      <c r="B215" s="1">
        <v>46091</v>
      </c>
      <c r="C215" s="1"/>
      <c r="D215" t="s">
        <v>144</v>
      </c>
      <c r="F215" s="2">
        <v>0</v>
      </c>
      <c r="G215" s="2">
        <v>275</v>
      </c>
    </row>
    <row r="216" spans="2:7" x14ac:dyDescent="0.35">
      <c r="B216" s="1">
        <v>46059</v>
      </c>
      <c r="C216" s="1"/>
      <c r="D216" t="s">
        <v>145</v>
      </c>
      <c r="F216" s="2">
        <v>0</v>
      </c>
      <c r="G216" s="2">
        <v>4366.25</v>
      </c>
    </row>
    <row r="217" spans="2:7" x14ac:dyDescent="0.35">
      <c r="B217" s="1">
        <v>46058</v>
      </c>
      <c r="C217" s="1"/>
      <c r="D217" t="s">
        <v>146</v>
      </c>
      <c r="F217" s="2">
        <v>0</v>
      </c>
      <c r="G217" s="2">
        <v>187.5</v>
      </c>
    </row>
    <row r="218" spans="2:7" x14ac:dyDescent="0.35">
      <c r="B218" s="1">
        <v>46055</v>
      </c>
      <c r="C218" s="1"/>
      <c r="D218" t="s">
        <v>147</v>
      </c>
      <c r="F218" s="2">
        <v>0</v>
      </c>
      <c r="G218" s="2">
        <v>130</v>
      </c>
    </row>
    <row r="219" spans="2:7" x14ac:dyDescent="0.35">
      <c r="B219" s="1">
        <v>46083</v>
      </c>
      <c r="C219" s="1"/>
      <c r="D219" t="s">
        <v>148</v>
      </c>
      <c r="F219" s="2">
        <v>0</v>
      </c>
      <c r="G219" s="2">
        <v>130</v>
      </c>
    </row>
    <row r="220" spans="2:7" x14ac:dyDescent="0.35">
      <c r="B220" s="1">
        <v>46093</v>
      </c>
      <c r="C220" s="1"/>
      <c r="D220" t="s">
        <v>149</v>
      </c>
      <c r="F220" s="2">
        <v>0</v>
      </c>
      <c r="G220" s="2">
        <v>300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Nate Tyler</dc:creator>
  <cp:lastModifiedBy>Nate Tyler</cp:lastModifiedBy>
  <dcterms:created xsi:type="dcterms:W3CDTF">2026-01-07T22:00:21Z</dcterms:created>
  <dcterms:modified xsi:type="dcterms:W3CDTF">2026-04-24T16:10:24Z</dcterms:modified>
</cp:coreProperties>
</file>