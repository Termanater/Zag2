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offic\Desktop\School\Virtual Enviornment and Py\Zag2\"/>
    </mc:Choice>
  </mc:AlternateContent>
  <xr:revisionPtr revIDLastSave="0" documentId="13_ncr:1_{EF14442E-2237-461A-866D-D370B8674303}" xr6:coauthVersionLast="47" xr6:coauthVersionMax="47" xr10:uidLastSave="{00000000-0000-0000-0000-000000000000}"/>
  <bookViews>
    <workbookView xWindow="-16320" yWindow="-13905" windowWidth="16440" windowHeight="28320" activeTab="1" xr2:uid="{00000000-000D-0000-FFFF-FFFF00000000}"/>
  </bookViews>
  <sheets>
    <sheet name="Sheet1" sheetId="1" r:id="rId1"/>
    <sheet name="Sheet2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" l="1"/>
  <c r="F4" i="1"/>
  <c r="G3" i="1"/>
  <c r="F3" i="1"/>
  <c r="G2" i="1"/>
  <c r="F2" i="1"/>
</calcChain>
</file>

<file path=xl/sharedStrings.xml><?xml version="1.0" encoding="utf-8"?>
<sst xmlns="http://schemas.openxmlformats.org/spreadsheetml/2006/main" count="591" uniqueCount="296">
  <si>
    <t>diff</t>
  </si>
  <si>
    <t>stmt</t>
  </si>
  <si>
    <t>total</t>
  </si>
  <si>
    <t>date</t>
  </si>
  <si>
    <t>description</t>
  </si>
  <si>
    <t>amount</t>
  </si>
  <si>
    <t>Payment Thank You - Web</t>
  </si>
  <si>
    <t>BEST BUY 00014092 MENIFEE CA</t>
  </si>
  <si>
    <t>FACEBK *2FLXW8MMU2 650-5434800 DE</t>
  </si>
  <si>
    <t>FACEBK *4XCKQ99NU2 650-5434800 DE</t>
  </si>
  <si>
    <t>FACEBK *5ML4X6HNU2 650-543-7818 CA</t>
  </si>
  <si>
    <t>FACEBK *5MMG6A5NU2 650-5434800 DE</t>
  </si>
  <si>
    <t>FACEBK *6Y7689DNU2 650-5434800 DE</t>
  </si>
  <si>
    <t>FACEBK *7E3JD8RMU2 650-543-7818 CA</t>
  </si>
  <si>
    <t>FACEBK *8M59EA5NU2 650-5434800 DE</t>
  </si>
  <si>
    <t>FACEBK *9LUD59DNU2 650-543-7818 CA</t>
  </si>
  <si>
    <t>FACEBK *9S4N59DNU2 650-5434800 DE</t>
  </si>
  <si>
    <t>FACEBK *AEASQA9NU2 650-5434800 DE</t>
  </si>
  <si>
    <t>FACEBK *AKY3W85NU2 650-5434800 DE</t>
  </si>
  <si>
    <t>FACEBK *BG94R6RMU2 650-5434800 DE</t>
  </si>
  <si>
    <t>FACEBK *DW5V88RMU2 650-5434800 DE</t>
  </si>
  <si>
    <t>FACEBK *EFLKS85NU2 650-5434800 DE</t>
  </si>
  <si>
    <t>FACEBK *GU6XK7VMU2 650-5434800 DE</t>
  </si>
  <si>
    <t>FACEBK *HB65HA9NU2 650-5434800 DE</t>
  </si>
  <si>
    <t>FACEBK *HKPUD8RMU2 650-5434800 DE</t>
  </si>
  <si>
    <t>FACEBK *HQAWCAMNU2 650-543-7818 CA</t>
  </si>
  <si>
    <t>FACEBK *L49GWBMNU2 650-5434800 DE</t>
  </si>
  <si>
    <t>FACEBK *L4YH56DNU2 650-5434800 DE</t>
  </si>
  <si>
    <t>FACEBK *LXRNJ8RMU2 650-543-7818 CA</t>
  </si>
  <si>
    <t>FACEBK *MBDJ48RMU2 650-543-7818 CA</t>
  </si>
  <si>
    <t>FACEBK *MDE4NAHNU2 650-5434800 DE</t>
  </si>
  <si>
    <t>FACEBK *MN3HM8MNU2 650-5434800 DE</t>
  </si>
  <si>
    <t>FACEBK *PX29M8RMU2 650-543-7818 CA</t>
  </si>
  <si>
    <t>FACEBK *QCAXF9DNU2 650-5434800 DE</t>
  </si>
  <si>
    <t>FACEBK *QX3F5AVMU2 650-5434800 DE</t>
  </si>
  <si>
    <t>FACEBK *RXPRNBMNU2 650-5434800 DE</t>
  </si>
  <si>
    <t>FACEBK *RYDUQ6RMU2 650-543-7818 CA</t>
  </si>
  <si>
    <t>FACEBK *S7KC5AVMU2 650-5434800 DE</t>
  </si>
  <si>
    <t>FACEBK *TRE2N9MNU2 650-543-7818 CA</t>
  </si>
  <si>
    <t>FACEBK *UUU9LBMNU2 650-5434800 DE</t>
  </si>
  <si>
    <t>FACEBK *W5496A5NU2 650-543-7818 CA</t>
  </si>
  <si>
    <t>FACEBK *W7TJWBMNU2 650-5434800 DE</t>
  </si>
  <si>
    <t>FACEBK *WGKL69MMU2 650-5434800 DE</t>
  </si>
  <si>
    <t>FACEBK *YNLM88RMU2 650-543-7818 CA</t>
  </si>
  <si>
    <t>FACEBK *YP3GV6ZMU2 650-5434800 DE</t>
  </si>
  <si>
    <t>FACEBK *ZAACD9DNU2 650-5434800 DE</t>
  </si>
  <si>
    <t>FACEBK *ZBHMS95NU2 650-5434800 DE</t>
  </si>
  <si>
    <t>FACEBK *ZHW3B95NU2 650-543-7818 CA</t>
  </si>
  <si>
    <t>FACEBK *ZS4378HNU2 650-543-7818 CA</t>
  </si>
  <si>
    <t>MCCALL SERVICE STATION L MENIFEE CA</t>
  </si>
  <si>
    <t>THE HOME DEPOT #6875 PERRIS CA</t>
  </si>
  <si>
    <t>1882 CANTINA TEMECULA CA</t>
  </si>
  <si>
    <t>365 DISPOSAL &amp; RECYCLING SUN VALLEY CA</t>
  </si>
  <si>
    <t>76 - GSE 257659 VAN NUYS CA</t>
  </si>
  <si>
    <t>76 - GSE 257659 VAN NUYS CA ALFONSO VACA TRANSACTIONS THIS CYCLE (CARD 9081) $1053.14</t>
  </si>
  <si>
    <t>76 - GSE 257659 VAN NUYS CA ALFONSO VACA TRANSACTIONS THIS CYCLE (CARD 9081) $838.79</t>
  </si>
  <si>
    <t>76 - GSE 257659 VAN NUYS CA DANIEL LAMBERT TRANSACTIONS THIS CYCLE (CARD 9099) $1038.43</t>
  </si>
  <si>
    <t>76 - GSE 257659 VAN NUYS CA DANIEL LAMBERT TRANSACTIONS THIS CYCLE (CARD 9099) $1322.20</t>
  </si>
  <si>
    <t>76 - GSE 257659 VAN NUYS CA DANIEL LAMBERT TRANSACTIONS THIS CYCLE (CARD 9099) $1763.46</t>
  </si>
  <si>
    <t>76 - MUNTASIR SABBAH INDIO CA</t>
  </si>
  <si>
    <t>76 - PETRO WHEELER RID LEBEC CA</t>
  </si>
  <si>
    <t>76 - SM ROYAL PETROLEU RIVERSIDE CA</t>
  </si>
  <si>
    <t>7-ELEVEN 37140 RIVERSIDE CA</t>
  </si>
  <si>
    <t>7-ELEVEN 38490 SUN CITY CA</t>
  </si>
  <si>
    <t>7-ELEVEN 38490 SUN CITY CA DOMINIC CYR TRANSACTIONS THIS CYCLE (CARD 4929) $10111.37 INCLUDING PAYMENTS RECEIVED</t>
  </si>
  <si>
    <t>7-ELEVEN 39087 LODI CA</t>
  </si>
  <si>
    <t>7-ELEVEN 39904 SAN BERNARDIN CA</t>
  </si>
  <si>
    <t>A AND A CONCRETE SUPPLY 949-2532800 CA</t>
  </si>
  <si>
    <t>AARON CHEVROLET LAKE ELSINORE CA</t>
  </si>
  <si>
    <t>Adriano's Italian Restaur Marble Falls TX</t>
  </si>
  <si>
    <t>AGUA CALIENTE FUEL RANCHO MIRAGE CA</t>
  </si>
  <si>
    <t>ARCHIBALDS DRIVE THRU MEN MENIFEE CA</t>
  </si>
  <si>
    <t>ARCO #42174 AMPM MONTEBELLO CA</t>
  </si>
  <si>
    <t>ARCO #42212 AMPM FONTANA CA</t>
  </si>
  <si>
    <t>ARCO #42269 ROMOLAND CA</t>
  </si>
  <si>
    <t>ARCO #42375 AMPM PERRIS CA</t>
  </si>
  <si>
    <t>ARCO #42405 AMPM BEAUMONT CA</t>
  </si>
  <si>
    <t>ARCO #42417 AMPM RANCHO CUCAMO CA</t>
  </si>
  <si>
    <t>ARCO #42680 NORCO CA</t>
  </si>
  <si>
    <t>ARCO #42864 AMPM MENIFEE CA</t>
  </si>
  <si>
    <t>ARCO #42867 AMPM MENIFEE CA</t>
  </si>
  <si>
    <t>ARCO #429590 AMPM RIVERSIDE CA</t>
  </si>
  <si>
    <t>ARCO #42992 AMPM MENIFEE CA</t>
  </si>
  <si>
    <t>ARCO #470181 SAN BERNARDIN CA</t>
  </si>
  <si>
    <t>ARCO #66572 SAN BERNARDIN CA</t>
  </si>
  <si>
    <t>ARK OF HIGHLAND LAKES WWW.ARKOFHIGH TX</t>
  </si>
  <si>
    <t>ARROW TRANSIT MIX INC LANCASTER CA</t>
  </si>
  <si>
    <t>AUTOZONE #5489 SUN VALLEY CA</t>
  </si>
  <si>
    <t>AUTOZONE #5557 INDIO CA</t>
  </si>
  <si>
    <t>AUTOZONE #6163 PERRIS CA</t>
  </si>
  <si>
    <t>BEST BUY 00003921 RIVERSIDE CA</t>
  </si>
  <si>
    <t>BLACK ANGUS-1089 LANCASTER CA</t>
  </si>
  <si>
    <t>BLACK ANGUS-1100 TEMECULA CA</t>
  </si>
  <si>
    <t>BLUE SHIELD CALIFORNIA 800-393-6130 CA</t>
  </si>
  <si>
    <t>BLUEWATER TEMECULA 951-3082722 CA</t>
  </si>
  <si>
    <t>BOBCAT OF OMAHA OMAHA NE</t>
  </si>
  <si>
    <t>BUC-EE'S #35 TEMPLE TX</t>
  </si>
  <si>
    <t>CA09 - MENIFEE 161-63698917 CA</t>
  </si>
  <si>
    <t>CASA JIMENEZ MENIFEE MENIFEE CA</t>
  </si>
  <si>
    <t>CHAMP EQUIPMENT CORP NORCO CA</t>
  </si>
  <si>
    <t>CHEVRON 0091274 LANCASTER CA</t>
  </si>
  <si>
    <t>CHEVRON 0098062 MARANA AZ</t>
  </si>
  <si>
    <t>CHEVRON 0203621 NORCO CA</t>
  </si>
  <si>
    <t>CHEVRON 0204586 SAN BERNARDIN CA</t>
  </si>
  <si>
    <t>CHEVRON 0207510 RANCHO MIRAGE CA</t>
  </si>
  <si>
    <t>CHEVRON 0207722 SAN BERNARDIN CA</t>
  </si>
  <si>
    <t>CHEVRON 0207722 SAN BERNARDIN CA ALFONSO VACA TRANSACTIONS THIS CYCLE (CARD 9081) $1725.72</t>
  </si>
  <si>
    <t>CHEVRON 0209519 MURRIETA CA</t>
  </si>
  <si>
    <t>CHEVRON 0210713 ONTARIO CA</t>
  </si>
  <si>
    <t>CHEVRON 0211869 FONTANA CA</t>
  </si>
  <si>
    <t>CHEVRON 0305779 ONTARIO CA</t>
  </si>
  <si>
    <t>CHEVRON 0307420 WINCHESTER CA</t>
  </si>
  <si>
    <t>CHEVRON 0355916 FONTANA CA</t>
  </si>
  <si>
    <t>CHEVRON 0375738 RIALTO CA</t>
  </si>
  <si>
    <t>CHEVRON 0375738 RIALTO CA ALFONSO VACA TRANSACTIONS THIS CYCLE (CARD 9081) $1152.30</t>
  </si>
  <si>
    <t>CHEVRON 0375738 RIALTO CA ALFONSO VACA TRANSACTIONS THIS CYCLE (CARD 9081) $1679.75</t>
  </si>
  <si>
    <t>CHEVRON 0375738 RIALTO CA ALFONSO VACA TRANSACTIONS THIS CYCLE (CARD 9081) $2589.60</t>
  </si>
  <si>
    <t>CHEVRON 0375738 RIALTO CA ALFONSO VACA TRANSACTIONS THIS CYCLE (CARD 9081) $80.10</t>
  </si>
  <si>
    <t>CHEVRON 0380022 MENIFEE CA</t>
  </si>
  <si>
    <t>CHEVRON 0380156 SAN BERNARDIN CA</t>
  </si>
  <si>
    <t>CHEVRON 0380156 SAN BERNARDIN CA DANIEL LAMBERT TRANSACTIONS THIS CYCLE (CARD 9099) $554.36</t>
  </si>
  <si>
    <t>CHEVRON 0383948 BOWIE AZ</t>
  </si>
  <si>
    <t>CHEVRON 0384518 ONTARIO CA</t>
  </si>
  <si>
    <t>CHEVRON 0386062 LEBEC CA</t>
  </si>
  <si>
    <t>CHEVRON 0386101 LATHROP CA</t>
  </si>
  <si>
    <t>CHEVRON 0388095 MENIFEE CA</t>
  </si>
  <si>
    <t>CHICK-FIL-A #01564 CORONA CA</t>
  </si>
  <si>
    <t>CHICK-FIL-A #01567 CORONA CA</t>
  </si>
  <si>
    <t>CHICK-FIL-A #04308 PERRIS CA</t>
  </si>
  <si>
    <t>CHICK-FIL-A #05377 LATHROP CA</t>
  </si>
  <si>
    <t>CHIPOTLE 4441 MENIFEE CA</t>
  </si>
  <si>
    <t>CIRCLE K # 06062 HEMET CA</t>
  </si>
  <si>
    <t>CIRCLE K # 06064 CORONA CA</t>
  </si>
  <si>
    <t>CIRCLE K # 09054 JURUPA VALLEY CA</t>
  </si>
  <si>
    <t>CIRCLE K # 41559 BURNET TX</t>
  </si>
  <si>
    <t>CIRCLE K 06003 MENIFEE CA</t>
  </si>
  <si>
    <t>CIRCLE K COLTON CA</t>
  </si>
  <si>
    <t>CIRCLE K DEALER #02652 SAN BERNARDIN CA</t>
  </si>
  <si>
    <t>CONCRETE TOOLS &amp; MORE 138-54046200 CA</t>
  </si>
  <si>
    <t>COSTCO WHSE #0491 TEMECULA CA</t>
  </si>
  <si>
    <t>DCE Ranch LLC Cameron TX</t>
  </si>
  <si>
    <t>DEL TACO 797 FONTANA CA</t>
  </si>
  <si>
    <t>DEL TACO 972 SANTA NELLA CA</t>
  </si>
  <si>
    <t>DUTCH BLUE LLC MENIFEE CA</t>
  </si>
  <si>
    <t>EL RANCHO MEXICAN RESTAUR BURNET TX</t>
  </si>
  <si>
    <t>EWING IRRIGATION PRD 123 RIVERSIDE CA</t>
  </si>
  <si>
    <t>EXXON SOBHY YOUSEF BANNING CA</t>
  </si>
  <si>
    <t>EZCATER*FIREBIRDS WOOD 800-488-1803 MA</t>
  </si>
  <si>
    <t>FACEBK *33SDJ9DNU2 650-543-7818 CA</t>
  </si>
  <si>
    <t>FACEBK *Q3BYS3RGW2 650-5434800 CA</t>
  </si>
  <si>
    <t>FACEBK *XUE5TY8TD2 650-5434800 CA</t>
  </si>
  <si>
    <t>FARRELLEQUI 715-835-4334 WI</t>
  </si>
  <si>
    <t>G &amp; M OIL # 237 ONTARIO CA DANIEL LAMBERT TRANSACTIONS THIS CYCLE (CARD 9099) $1134.45</t>
  </si>
  <si>
    <t>HABIT BURGER 5076 MENIFEE CA</t>
  </si>
  <si>
    <t>HABIT BURGER 5129 CORONA CA</t>
  </si>
  <si>
    <t>HABIT BURGER 5132 NORTH CORONA CA</t>
  </si>
  <si>
    <t>HABIT STOCKTON #86 STOCKTON CA</t>
  </si>
  <si>
    <t>HOLIDAY INN EXP LANCASTE LANCASTER CA</t>
  </si>
  <si>
    <t>HOLIDAY INN EXPRESS LODI 5593288479 CA</t>
  </si>
  <si>
    <t>HONEYCUTT FARMS CAFE MURRIETA CA</t>
  </si>
  <si>
    <t>Hotel El Capitan Van Horn TX</t>
  </si>
  <si>
    <t>HOTEL EL CAPITAN VAN HORN TX</t>
  </si>
  <si>
    <t>HOTEL TEMECULA CA DOMINIC CYR TRANSACTIONS THIS CYCLE (CARD 4929) $4938.82 INCLUDING PAYMENTS RECEIVED</t>
  </si>
  <si>
    <t>IN *EMPIRE PRECAST INC LAKE ELSINORE CA</t>
  </si>
  <si>
    <t>IN *HOFFENMER 415-3734200 IL</t>
  </si>
  <si>
    <t>IND METAL SUPPL-INLAND E 951-300-9900 CA</t>
  </si>
  <si>
    <t>IND METAL SUPPL-INLAND E RIVERSIDE CA</t>
  </si>
  <si>
    <t>IN-N-OUT LANCASTER LANCASTER CA</t>
  </si>
  <si>
    <t>IN-N-OUT LODI LODI CA</t>
  </si>
  <si>
    <t>IN-N-OUT MENIFEE MENIFEE CA</t>
  </si>
  <si>
    <t>IN-N-OUT PERRIS PERRIS CA</t>
  </si>
  <si>
    <t>IN-N-OUT STOCKTON STOCKTON CA</t>
  </si>
  <si>
    <t>IN-N-OUT TULARE TULARE CA</t>
  </si>
  <si>
    <t>INTERSTATE STEEL STRUCTU 951-654-2005 CA</t>
  </si>
  <si>
    <t>JERSEY MIKES 20142 RIVERSIDE CA</t>
  </si>
  <si>
    <t>JERSEY MIKES 20271 CABAZON CA</t>
  </si>
  <si>
    <t>JURUPA VALLEY CRUSHING RIVERSIDE CA</t>
  </si>
  <si>
    <t>KINGS FISH HOUSE- CO 951-2847900 CA</t>
  </si>
  <si>
    <t>LATE FEE DOMINIC CYR TRANSACTIONS THIS CYCLE (CARD 9065) $2970.69 INCLUDING PAYMENTS RECEIVED</t>
  </si>
  <si>
    <t>LATE FEE DOMINIC CYR TRANSACTIONS THIS CYCLE (CARD 9065) $3008.10- INCLUDING PAYMENTS RECEIVED</t>
  </si>
  <si>
    <t>LATE FEE DOMINIC CYR TRANSACTIONS THIS CYCLE (CARD 9065) $6892.88- INCLUDING PAYMENTS RECEIVED</t>
  </si>
  <si>
    <t>LATE FEE DOMINIC CYR TRANSACTIONS THIS CYCLE (CARD 9065) $9922.50- INCLUDING PAYMENTS RECEIVED</t>
  </si>
  <si>
    <t>LITTLE STORE OZONA TX</t>
  </si>
  <si>
    <t>LODI BEER COMPANY LODI CA</t>
  </si>
  <si>
    <t>LOOP (TRUMBLE) PERRIS CA</t>
  </si>
  <si>
    <t>LOVE'S #0230 INSIDE LOST HILLS CA DOMINIC CYR JR TRANSACTIONS THIS CYCLE (CARD 9073) $1555.66</t>
  </si>
  <si>
    <t>LOVE'S #0256 INSIDE VAN HORN TX</t>
  </si>
  <si>
    <t>LOVE'S #0259 INSIDE LAS CRUCES NM</t>
  </si>
  <si>
    <t>LOVE'S #0259 OUTSIDE LAS CRUCES NM</t>
  </si>
  <si>
    <t>LOVE'S #0286 INSIDE QUARTZSITE AZ</t>
  </si>
  <si>
    <t>LOVE'S #0286 OUTSIDE QUARTZSITE AZ</t>
  </si>
  <si>
    <t>LOVE'S #0441 INSIDE SANTA NELLA CA</t>
  </si>
  <si>
    <t>LOVE'S #0441 OUTSIDE SANTA NELLA CA</t>
  </si>
  <si>
    <t>LOWES #01545* STOCKTON CA</t>
  </si>
  <si>
    <t>LOWES #01574* MORENO VALLEY CA DANIEL LAMBERT TRANSACTIONS THIS CYCLE (CARD 9099) $903.82</t>
  </si>
  <si>
    <t>LOWES #02294* MENIFEE CA</t>
  </si>
  <si>
    <t>LS LA CADENA MASONRY 190-98251624 CA</t>
  </si>
  <si>
    <t>MAVERIK #742 DEMING NM</t>
  </si>
  <si>
    <t>MCCALL SERVICE STATION L MENIFEE CA DOMINIC CYR JR TRANSACTIONS THIS CYCLE (CARD 9073) $2020.45</t>
  </si>
  <si>
    <t>MICRO MOBILE TIRE WINCHESTER CA</t>
  </si>
  <si>
    <t>MIGUEL'S JR 17 ONTARIO CA</t>
  </si>
  <si>
    <t>MIGUEL'S JR 19 MENIFEE CA</t>
  </si>
  <si>
    <t>MIGUEL'S JR 27 NORCO CA</t>
  </si>
  <si>
    <t>MORONGO TRAVEL CENTER CABAZON CA</t>
  </si>
  <si>
    <t>MURRIETA SIZZLER #989 MURRIETA CA</t>
  </si>
  <si>
    <t>NAPA STORE 4627016 HEMET CA</t>
  </si>
  <si>
    <t>NORTH AMERICAN RECYCLING 8007778752 CA</t>
  </si>
  <si>
    <t>NUVIEW BRIDGE EC HS FO VERTICALRAISE ID</t>
  </si>
  <si>
    <t>OC WASTE AND RECYCLING SANTA ANA CA</t>
  </si>
  <si>
    <t>OP Insurance Agency, I La Mesa CA</t>
  </si>
  <si>
    <t>O'REILLY 2720 PERRIS CA</t>
  </si>
  <si>
    <t>PAISANO'S TEMECULA CA</t>
  </si>
  <si>
    <t>PANERA BREAD #601610 P MENIFEE CA</t>
  </si>
  <si>
    <t>PANERA BREAD #601703 P PICO RIVERA CA</t>
  </si>
  <si>
    <t>PATTON SALES CORP PALMDALE CA</t>
  </si>
  <si>
    <t>PEOPLEG2 602-3184783 AZ</t>
  </si>
  <si>
    <t>PERRIS SIZZLER #970 PERRIS CA</t>
  </si>
  <si>
    <t>PILOT_00553 FORT STOCKTON TX</t>
  </si>
  <si>
    <t>PILOT_00608 EHRENBERG AZ</t>
  </si>
  <si>
    <t>PILOT_00608 EHRENBERG AZ DOMINIC CYR JR TRANSACTIONS THIS CYCLE (CARD 9073) $169.18</t>
  </si>
  <si>
    <t>PLATT ELECTRIC 036 STOCKTON CA</t>
  </si>
  <si>
    <t>PUBLIC DUMP SUN VALLEY CA</t>
  </si>
  <si>
    <t>PUBLIC DUMP SUN VALLEY CA DOMINIC CYR JR TRANSACTIONS THIS CYCLE (CARD 9073) $772.87</t>
  </si>
  <si>
    <t>QUALITY TURF INC. 951-654-7721 CA</t>
  </si>
  <si>
    <t>QUICKQUACK* O 7B05EA35 188-87722792 CA</t>
  </si>
  <si>
    <t>QUICKQUACK* O F616A73F 188-87722792 CA</t>
  </si>
  <si>
    <t>RALPHS #0063 VAN NUYS CA</t>
  </si>
  <si>
    <t>RAPID PRINT SOLUTIONS MENIFEE CA</t>
  </si>
  <si>
    <t>RDO EQUIPMENT RIVERSIDE 951-778-3700 CA</t>
  </si>
  <si>
    <t>RDO EQUIPMENT RIVERSIDE RIVERSIDE CA</t>
  </si>
  <si>
    <t>REECE PLUMBING-2008 MURRIETA CA</t>
  </si>
  <si>
    <t>RIVERSIDE CHEVROLET 183-38354662 CA DANIEL LAMBERT TRANSACTIONS THIS CYCLE (CARD 9099) $2566.96</t>
  </si>
  <si>
    <t>ROTOLO CHEVROLET FONTANA CA</t>
  </si>
  <si>
    <t>RUBIO'S #215 LANCASTER CA</t>
  </si>
  <si>
    <t>RUBIO'S #279 MENIFEE CA</t>
  </si>
  <si>
    <t>RXR CARWASH BERTRAM TX</t>
  </si>
  <si>
    <t>SAL AND SONS AUTO SERVICE SAN BERNARDIN CA</t>
  </si>
  <si>
    <t>SHELL OIL 10071860000 WILDOMAR CA</t>
  </si>
  <si>
    <t>SHELL OIL 12508723009 JUNCTION TX</t>
  </si>
  <si>
    <t>SHELL OIL 12616023003 NORCO CA</t>
  </si>
  <si>
    <t>SHELL OIL 12616023003 NORCO CA DOMINIC CYR JR TRANSACTIONS THIS CYCLE (CARD 9073) $1206.83</t>
  </si>
  <si>
    <t>SHELL OIL 12712413009 SAN BERNARDIN CA</t>
  </si>
  <si>
    <t>SHELL OIL 57445932007 ARVIN CA</t>
  </si>
  <si>
    <t>SHELL OIL10004438015 JURUPA VALLEY CA DOMINIC CYR JR TRANSACTIONS THIS CYCLE (CARD 9073) $815.86</t>
  </si>
  <si>
    <t>SHELL OIL10015379026 MURRIETA CA</t>
  </si>
  <si>
    <t>SHELL OIL13013946028 MENIFEE CA</t>
  </si>
  <si>
    <t>SOUTHERN CALIFORNIA MU WINCHESTER CA</t>
  </si>
  <si>
    <t>SQ *DELTA READY MIX CONCR Stockton CA</t>
  </si>
  <si>
    <t>SQ *FAITH STRONG TOWING L Perris CA</t>
  </si>
  <si>
    <t>SQ *GLASER STEEL 877-417-4551 CA</t>
  </si>
  <si>
    <t>SQ *THE PRESS ESPRESSO Temecula CA</t>
  </si>
  <si>
    <t>SQ *TKB BAKERY &amp; DELI Indio CA</t>
  </si>
  <si>
    <t>STAPLES 00114660 MENIFEE CA</t>
  </si>
  <si>
    <t>STARBUCKS STORE 06829 YUCCA VALLEY CA</t>
  </si>
  <si>
    <t>STARBUCKS STORE 50489 NORCO CA</t>
  </si>
  <si>
    <t>STARBUCKS STORE 82358 MENIFEE CA</t>
  </si>
  <si>
    <t>Subway 35882 Perris CA</t>
  </si>
  <si>
    <t>Subway 43647 Las Cruces NM</t>
  </si>
  <si>
    <t>Sun City Hardware PGS SUN CITY CA</t>
  </si>
  <si>
    <t>SUNBELT RENTALS #1870 NORCO CA</t>
  </si>
  <si>
    <t>SUPPORTSIGNOW.COM 855-7501646 MA</t>
  </si>
  <si>
    <t>TAMS BURGERS GALENA RIVERSIDE CA</t>
  </si>
  <si>
    <t>TAMS BURGERS GALENA RIVERSIDE CA DOMINIC CYR TRANSACTIONS THIS CYCLE (CARD 9065) $8070.90 INCLUDING PAYMENTS RECEIVED</t>
  </si>
  <si>
    <t>TEXAS ROADHOUSE #2338 MENIFEE CA</t>
  </si>
  <si>
    <t>THALYPO CONVENIENCE MOHAVE VALLEY AZ</t>
  </si>
  <si>
    <t>THE HOME DEPOT #0662 STOCKTON CA</t>
  </si>
  <si>
    <t>THE HOME DEPOT #6113 MURRIETA CA</t>
  </si>
  <si>
    <t>THE HOME DEPOT 1084 MIRA LOMA CA</t>
  </si>
  <si>
    <t>THE HOME DEPOT 6113 MURRIETA CA</t>
  </si>
  <si>
    <t>THE HOME DEPOT 654 COMMERCE CA</t>
  </si>
  <si>
    <t>THE HOME DEPOT 6651 LANCASTER CA</t>
  </si>
  <si>
    <t>THE HOME DEPOT 6875 PERRIS CA</t>
  </si>
  <si>
    <t>THE NEW PIONEER HENDERSON NV</t>
  </si>
  <si>
    <t>TN* PANCHO VILLAS TACO 125-15519001 AL</t>
  </si>
  <si>
    <t>TOM BELL CHEVROLET REDLANDS CA</t>
  </si>
  <si>
    <t>TOP TECH AUTO AND SONS MENIFEE CA</t>
  </si>
  <si>
    <t>TRI STATE MATERIALS WINCHESTER CA</t>
  </si>
  <si>
    <t>TRUE TINT WINDOW TINTING 9514458523 CA</t>
  </si>
  <si>
    <t>TST* BAKER'S BURGERS - UN RIVERSIDE CA</t>
  </si>
  <si>
    <t>TST* BUSHFIRE KITCHEN - M MENIFEE CA</t>
  </si>
  <si>
    <t>TST* ISLANDS RESTAURANTS TEMECULA CA</t>
  </si>
  <si>
    <t>TST* PIEOLOGY - RANCHO MI RANCHO MIRAGE CA</t>
  </si>
  <si>
    <t>TST* WEST COAST SOURDOUGH NORCO CA</t>
  </si>
  <si>
    <t>TST*ANTHONYS LOUNGE &amp; Murrieta CA</t>
  </si>
  <si>
    <t>TST*LOS VAQUEROS CANTINA Hemet CA</t>
  </si>
  <si>
    <t>TST*ROCKIN K RANCH Hemet CA</t>
  </si>
  <si>
    <t>TST*TACOS &amp; TEQUILA GRIL Menifee CA</t>
  </si>
  <si>
    <t>TST*THE CANYON COWBOY NE Canyon Lake CA</t>
  </si>
  <si>
    <t>TST*THE STANDARD ON VAUG Bertram TX</t>
  </si>
  <si>
    <t>UNITED ROCK PIT 3 MAINT 714-3924674 CA</t>
  </si>
  <si>
    <t>VALERO LODI LODI CA</t>
  </si>
  <si>
    <t>VIOC GN0067 SAN BERNARDIN CA</t>
  </si>
  <si>
    <t>VIOC GN0146 HEMET CA</t>
  </si>
  <si>
    <t>WENDY'S 134 SUN CITY CA</t>
  </si>
  <si>
    <t>WENDYS 608 EHRENBERG AZ</t>
  </si>
  <si>
    <t>WHATABURGER 0744 BURNET TX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</si>
</sst>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">
    <xf numFmtId="0" fontId="0" fillId="0" borderId="0" xfId="0"/>
    <xf numFmtId="14" fontId="0" fillId="0" borderId="0" xfId="0" applyNumberFormat="1"/>
    <xf numFmtId="44" fontId="0" fillId="0" borderId="0" xfId="0" applyNumberFormat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594"/>
  <sheetViews>
    <sheetView topLeftCell="A192" workbookViewId="0">
      <selection activeCell="D224" sqref="D224"/>
    </sheetView>
  </sheetViews>
  <sheetFormatPr defaultRowHeight="14.5" x14ac:dyDescent="0.35"/>
  <cols>
    <col min="1" max="1" width="8" bestFit="1" customWidth="1"/>
    <col min="2" max="2" width="11.26953125" bestFit="1" customWidth="1"/>
    <col min="3" max="3" width="11.26953125" customWidth="1"/>
    <col min="4" max="4" width="127.90625" bestFit="1" customWidth="1"/>
    <col min="5" max="5" width="5.08984375" bestFit="1" customWidth="1"/>
    <col min="6" max="6" width="13.1796875" style="2" bestFit="1" customWidth="1"/>
    <col min="7" max="7" width="13.90625" style="2" bestFit="1" customWidth="1"/>
  </cols>
  <sheetData>
    <row r="2" spans="2:7" x14ac:dyDescent="0.35">
      <c r="E2" t="s">
        <v>0</v>
      </c>
      <c r="F2" s="2">
        <f>F3-F4</f>
        <v>0</v>
      </c>
      <c r="G2" s="2">
        <f>G4-G3</f>
        <v>0</v>
      </c>
    </row>
    <row r="3" spans="2:7" x14ac:dyDescent="0.35">
      <c r="E3" t="s">
        <v>1</v>
      </c>
      <c r="F3" s="2">
        <f>29586.4+38181.45+6718.79+10237.94+13058.91+23023.47+3502.43</f>
        <v>124309.39</v>
      </c>
      <c r="G3" s="2">
        <f>35781.9+23742.23+21358.81+6030.6+40+35272+40+23340.55+40+9835.53+40</f>
        <v>155521.62</v>
      </c>
    </row>
    <row r="4" spans="2:7" x14ac:dyDescent="0.35">
      <c r="E4" t="s">
        <v>2</v>
      </c>
      <c r="F4" s="2">
        <f>SUM(F7:F596)</f>
        <v>124309.38999999997</v>
      </c>
      <c r="G4" s="2">
        <f>SUM(G7:G596)*-1</f>
        <v>155521.62000000011</v>
      </c>
    </row>
    <row r="6" spans="2:7" x14ac:dyDescent="0.35">
      <c r="B6" t="s">
        <v>3</v>
      </c>
      <c r="D6" t="s">
        <v>4</v>
      </c>
      <c r="F6" s="2" t="s">
        <v>5</v>
      </c>
    </row>
    <row r="7" spans="2:7" x14ac:dyDescent="0.35">
      <c r="B7" s="1">
        <v>45922</v>
      </c>
      <c r="C7" s="1"/>
      <c r="D7" t="s">
        <v>6</v>
      </c>
      <c r="F7" s="2">
        <v>38154.51</v>
      </c>
      <c r="G7" s="2">
        <v>0</v>
      </c>
    </row>
    <row r="8" spans="2:7" x14ac:dyDescent="0.35">
      <c r="B8" s="1">
        <v>45892</v>
      </c>
      <c r="C8" s="1"/>
      <c r="D8" t="s">
        <v>6</v>
      </c>
      <c r="F8" s="2">
        <v>29586.400000000001</v>
      </c>
      <c r="G8" s="2">
        <v>0</v>
      </c>
    </row>
    <row r="9" spans="2:7" x14ac:dyDescent="0.35">
      <c r="B9" s="1">
        <v>46021</v>
      </c>
      <c r="C9" s="1"/>
      <c r="D9" t="s">
        <v>6</v>
      </c>
      <c r="F9" s="2">
        <v>22906.12</v>
      </c>
      <c r="G9" s="2">
        <v>0</v>
      </c>
    </row>
    <row r="10" spans="2:7" x14ac:dyDescent="0.35">
      <c r="B10" s="1">
        <v>45996</v>
      </c>
      <c r="C10" s="1"/>
      <c r="D10" t="s">
        <v>6</v>
      </c>
      <c r="F10" s="2">
        <v>12920.46</v>
      </c>
      <c r="G10" s="2">
        <v>0</v>
      </c>
    </row>
    <row r="11" spans="2:7" x14ac:dyDescent="0.35">
      <c r="B11" s="1">
        <v>45980</v>
      </c>
      <c r="C11" s="1"/>
      <c r="D11" t="s">
        <v>6</v>
      </c>
      <c r="F11" s="2">
        <v>10237.94</v>
      </c>
      <c r="G11" s="2">
        <v>0</v>
      </c>
    </row>
    <row r="12" spans="2:7" x14ac:dyDescent="0.35">
      <c r="B12" s="1">
        <v>45956</v>
      </c>
      <c r="C12" s="1"/>
      <c r="D12" t="s">
        <v>6</v>
      </c>
      <c r="F12" s="2">
        <v>6718.79</v>
      </c>
      <c r="G12" s="2">
        <v>0</v>
      </c>
    </row>
    <row r="13" spans="2:7" x14ac:dyDescent="0.35">
      <c r="B13" s="1">
        <v>45860</v>
      </c>
      <c r="C13" s="1"/>
      <c r="D13" t="s">
        <v>6</v>
      </c>
      <c r="F13" s="2">
        <v>3502.43</v>
      </c>
      <c r="G13" s="2">
        <v>0</v>
      </c>
    </row>
    <row r="14" spans="2:7" x14ac:dyDescent="0.35">
      <c r="B14" s="1"/>
      <c r="C14" s="1"/>
    </row>
    <row r="15" spans="2:7" x14ac:dyDescent="0.35">
      <c r="B15" s="1">
        <v>46022</v>
      </c>
      <c r="C15" s="1"/>
      <c r="D15" t="s">
        <v>7</v>
      </c>
      <c r="F15" s="2">
        <v>89.7</v>
      </c>
      <c r="G15" s="2">
        <v>0</v>
      </c>
    </row>
    <row r="16" spans="2:7" x14ac:dyDescent="0.35">
      <c r="B16" s="1">
        <v>46006</v>
      </c>
      <c r="C16" s="1"/>
      <c r="D16" t="s">
        <v>8</v>
      </c>
      <c r="F16" s="2">
        <v>3</v>
      </c>
      <c r="G16" s="2">
        <v>0</v>
      </c>
    </row>
    <row r="17" spans="2:7" x14ac:dyDescent="0.35">
      <c r="B17" s="1">
        <v>45997</v>
      </c>
      <c r="C17" s="1"/>
      <c r="D17" t="s">
        <v>9</v>
      </c>
      <c r="F17" s="2">
        <v>2</v>
      </c>
      <c r="G17" s="2">
        <v>0</v>
      </c>
    </row>
    <row r="18" spans="2:7" x14ac:dyDescent="0.35">
      <c r="B18" s="1">
        <v>45960</v>
      </c>
      <c r="C18" s="1"/>
      <c r="D18" t="s">
        <v>10</v>
      </c>
      <c r="F18" s="2">
        <v>2</v>
      </c>
      <c r="G18" s="2">
        <v>0</v>
      </c>
    </row>
    <row r="19" spans="2:7" x14ac:dyDescent="0.35">
      <c r="B19" s="1">
        <v>46008</v>
      </c>
      <c r="C19" s="1"/>
      <c r="D19" t="s">
        <v>11</v>
      </c>
      <c r="F19" s="2">
        <v>3</v>
      </c>
      <c r="G19" s="2">
        <v>0</v>
      </c>
    </row>
    <row r="20" spans="2:7" x14ac:dyDescent="0.35">
      <c r="B20" s="1">
        <v>46007</v>
      </c>
      <c r="C20" s="1"/>
      <c r="D20" t="s">
        <v>12</v>
      </c>
      <c r="F20" s="2">
        <v>3</v>
      </c>
      <c r="G20" s="2">
        <v>0</v>
      </c>
    </row>
    <row r="21" spans="2:7" x14ac:dyDescent="0.35">
      <c r="B21" s="1">
        <v>46006</v>
      </c>
      <c r="C21" s="1"/>
      <c r="D21" t="s">
        <v>13</v>
      </c>
      <c r="F21" s="2">
        <v>7.1</v>
      </c>
      <c r="G21" s="2">
        <v>0</v>
      </c>
    </row>
    <row r="22" spans="2:7" x14ac:dyDescent="0.35">
      <c r="B22" s="1">
        <v>46011</v>
      </c>
      <c r="C22" s="1"/>
      <c r="D22" t="s">
        <v>14</v>
      </c>
      <c r="F22" s="2">
        <v>3</v>
      </c>
      <c r="G22" s="2">
        <v>0</v>
      </c>
    </row>
    <row r="23" spans="2:7" x14ac:dyDescent="0.35">
      <c r="B23" s="1">
        <v>46005</v>
      </c>
      <c r="C23" s="1"/>
      <c r="D23" t="s">
        <v>15</v>
      </c>
      <c r="F23" s="2">
        <v>4.76</v>
      </c>
      <c r="G23" s="2">
        <v>0</v>
      </c>
    </row>
    <row r="24" spans="2:7" x14ac:dyDescent="0.35">
      <c r="B24" s="1">
        <v>46006</v>
      </c>
      <c r="C24" s="1"/>
      <c r="D24" t="s">
        <v>16</v>
      </c>
      <c r="F24" s="2">
        <v>3</v>
      </c>
      <c r="G24" s="2">
        <v>0</v>
      </c>
    </row>
    <row r="25" spans="2:7" x14ac:dyDescent="0.35">
      <c r="B25" s="1">
        <v>46010</v>
      </c>
      <c r="C25" s="1"/>
      <c r="D25" t="s">
        <v>17</v>
      </c>
      <c r="F25" s="2">
        <v>3</v>
      </c>
      <c r="G25" s="2">
        <v>0</v>
      </c>
    </row>
    <row r="26" spans="2:7" x14ac:dyDescent="0.35">
      <c r="B26" s="1">
        <v>45992</v>
      </c>
      <c r="C26" s="1"/>
      <c r="D26" t="s">
        <v>18</v>
      </c>
      <c r="F26" s="2">
        <v>6.15</v>
      </c>
      <c r="G26" s="2">
        <v>0</v>
      </c>
    </row>
    <row r="27" spans="2:7" x14ac:dyDescent="0.35">
      <c r="B27" s="1">
        <v>45985</v>
      </c>
      <c r="C27" s="1"/>
      <c r="D27" t="s">
        <v>19</v>
      </c>
      <c r="F27" s="2">
        <v>2</v>
      </c>
      <c r="G27" s="2">
        <v>0</v>
      </c>
    </row>
    <row r="28" spans="2:7" x14ac:dyDescent="0.35">
      <c r="B28" s="1">
        <v>46005</v>
      </c>
      <c r="C28" s="1"/>
      <c r="D28" t="s">
        <v>20</v>
      </c>
      <c r="F28" s="2">
        <v>3</v>
      </c>
      <c r="G28" s="2">
        <v>0</v>
      </c>
    </row>
    <row r="29" spans="2:7" x14ac:dyDescent="0.35">
      <c r="B29" s="1">
        <v>45990</v>
      </c>
      <c r="C29" s="1"/>
      <c r="D29" t="s">
        <v>21</v>
      </c>
      <c r="F29" s="2">
        <v>2</v>
      </c>
      <c r="G29" s="2">
        <v>0</v>
      </c>
    </row>
    <row r="30" spans="2:7" x14ac:dyDescent="0.35">
      <c r="B30" s="1">
        <v>45974</v>
      </c>
      <c r="C30" s="1"/>
      <c r="D30" t="s">
        <v>22</v>
      </c>
      <c r="F30" s="2">
        <v>2</v>
      </c>
      <c r="G30" s="2">
        <v>0</v>
      </c>
    </row>
    <row r="31" spans="2:7" x14ac:dyDescent="0.35">
      <c r="B31" s="1">
        <v>46007</v>
      </c>
      <c r="C31" s="1"/>
      <c r="D31" t="s">
        <v>23</v>
      </c>
      <c r="F31" s="2">
        <v>3</v>
      </c>
      <c r="G31" s="2">
        <v>0</v>
      </c>
    </row>
    <row r="32" spans="2:7" x14ac:dyDescent="0.35">
      <c r="B32" s="1">
        <v>46007</v>
      </c>
      <c r="C32" s="1"/>
      <c r="D32" t="s">
        <v>24</v>
      </c>
      <c r="F32" s="2">
        <v>3</v>
      </c>
      <c r="G32" s="2">
        <v>0</v>
      </c>
    </row>
    <row r="33" spans="2:7" x14ac:dyDescent="0.35">
      <c r="B33" s="1">
        <v>45990</v>
      </c>
      <c r="C33" s="1"/>
      <c r="D33" t="s">
        <v>25</v>
      </c>
      <c r="F33" s="2">
        <v>3.14</v>
      </c>
      <c r="G33" s="2">
        <v>0</v>
      </c>
    </row>
    <row r="34" spans="2:7" x14ac:dyDescent="0.35">
      <c r="B34" s="1">
        <v>46010</v>
      </c>
      <c r="C34" s="1"/>
      <c r="D34" t="s">
        <v>26</v>
      </c>
      <c r="F34" s="2">
        <v>3</v>
      </c>
      <c r="G34" s="2">
        <v>0</v>
      </c>
    </row>
    <row r="35" spans="2:7" x14ac:dyDescent="0.35">
      <c r="B35" s="1">
        <v>45968</v>
      </c>
      <c r="C35" s="1"/>
      <c r="D35" t="s">
        <v>27</v>
      </c>
      <c r="F35" s="2">
        <v>2</v>
      </c>
      <c r="G35" s="2">
        <v>0</v>
      </c>
    </row>
    <row r="36" spans="2:7" x14ac:dyDescent="0.35">
      <c r="B36" s="1">
        <v>46008</v>
      </c>
      <c r="C36" s="1"/>
      <c r="D36" t="s">
        <v>28</v>
      </c>
      <c r="F36" s="2">
        <v>6.58</v>
      </c>
      <c r="G36" s="2">
        <v>0</v>
      </c>
    </row>
    <row r="37" spans="2:7" x14ac:dyDescent="0.35">
      <c r="B37" s="1">
        <v>46003</v>
      </c>
      <c r="C37" s="1"/>
      <c r="D37" t="s">
        <v>29</v>
      </c>
      <c r="F37" s="2">
        <v>6.29</v>
      </c>
      <c r="G37" s="2">
        <v>0</v>
      </c>
    </row>
    <row r="38" spans="2:7" x14ac:dyDescent="0.35">
      <c r="B38" s="1">
        <v>46006</v>
      </c>
      <c r="C38" s="1"/>
      <c r="D38" t="s">
        <v>30</v>
      </c>
      <c r="F38" s="2">
        <v>3</v>
      </c>
      <c r="G38" s="2">
        <v>0</v>
      </c>
    </row>
    <row r="39" spans="2:7" x14ac:dyDescent="0.35">
      <c r="B39" s="1">
        <v>45969</v>
      </c>
      <c r="C39" s="1"/>
      <c r="D39" t="s">
        <v>31</v>
      </c>
      <c r="F39" s="2">
        <v>2</v>
      </c>
      <c r="G39" s="2">
        <v>0</v>
      </c>
    </row>
    <row r="40" spans="2:7" x14ac:dyDescent="0.35">
      <c r="B40" s="1">
        <v>46009</v>
      </c>
      <c r="C40" s="1"/>
      <c r="D40" t="s">
        <v>32</v>
      </c>
      <c r="F40" s="2">
        <v>6.07</v>
      </c>
      <c r="G40" s="2">
        <v>0</v>
      </c>
    </row>
    <row r="41" spans="2:7" x14ac:dyDescent="0.35">
      <c r="B41" s="1">
        <v>46010</v>
      </c>
      <c r="C41" s="1"/>
      <c r="D41" t="s">
        <v>33</v>
      </c>
      <c r="F41" s="2">
        <v>3</v>
      </c>
      <c r="G41" s="2">
        <v>0</v>
      </c>
    </row>
    <row r="42" spans="2:7" x14ac:dyDescent="0.35">
      <c r="B42" s="1">
        <v>46007</v>
      </c>
      <c r="C42" s="1"/>
      <c r="D42" t="s">
        <v>34</v>
      </c>
      <c r="F42" s="2">
        <v>3</v>
      </c>
      <c r="G42" s="2">
        <v>0</v>
      </c>
    </row>
    <row r="43" spans="2:7" x14ac:dyDescent="0.35">
      <c r="B43" s="1">
        <v>46007</v>
      </c>
      <c r="C43" s="1"/>
      <c r="D43" t="s">
        <v>35</v>
      </c>
      <c r="F43" s="2">
        <v>3</v>
      </c>
      <c r="G43" s="2">
        <v>0</v>
      </c>
    </row>
    <row r="44" spans="2:7" x14ac:dyDescent="0.35">
      <c r="B44" s="1">
        <v>45985</v>
      </c>
      <c r="C44" s="1"/>
      <c r="D44" t="s">
        <v>36</v>
      </c>
      <c r="F44" s="2">
        <v>16.309999999999999</v>
      </c>
      <c r="G44" s="2">
        <v>0</v>
      </c>
    </row>
    <row r="45" spans="2:7" x14ac:dyDescent="0.35">
      <c r="B45" s="1">
        <v>46007</v>
      </c>
      <c r="C45" s="1"/>
      <c r="D45" t="s">
        <v>37</v>
      </c>
      <c r="F45" s="2">
        <v>3</v>
      </c>
      <c r="G45" s="2">
        <v>0</v>
      </c>
    </row>
    <row r="46" spans="2:7" x14ac:dyDescent="0.35">
      <c r="B46" s="1">
        <v>45981</v>
      </c>
      <c r="C46" s="1"/>
      <c r="D46" t="s">
        <v>38</v>
      </c>
      <c r="F46" s="2">
        <v>2</v>
      </c>
      <c r="G46" s="2">
        <v>0</v>
      </c>
    </row>
    <row r="47" spans="2:7" x14ac:dyDescent="0.35">
      <c r="B47" s="1">
        <v>46006</v>
      </c>
      <c r="C47" s="1"/>
      <c r="D47" t="s">
        <v>39</v>
      </c>
      <c r="F47" s="2">
        <v>3</v>
      </c>
      <c r="G47" s="2">
        <v>0</v>
      </c>
    </row>
    <row r="48" spans="2:7" x14ac:dyDescent="0.35">
      <c r="B48" s="1">
        <v>46007</v>
      </c>
      <c r="C48" s="1"/>
      <c r="D48" t="s">
        <v>40</v>
      </c>
      <c r="F48" s="2">
        <v>8.75</v>
      </c>
      <c r="G48" s="2">
        <v>0</v>
      </c>
    </row>
    <row r="49" spans="2:7" x14ac:dyDescent="0.35">
      <c r="B49" s="1">
        <v>46010</v>
      </c>
      <c r="C49" s="1"/>
      <c r="D49" t="s">
        <v>41</v>
      </c>
      <c r="F49" s="2">
        <v>3</v>
      </c>
      <c r="G49" s="2">
        <v>0</v>
      </c>
    </row>
    <row r="50" spans="2:7" x14ac:dyDescent="0.35">
      <c r="B50" s="1">
        <v>46009</v>
      </c>
      <c r="C50" s="1"/>
      <c r="D50" t="s">
        <v>42</v>
      </c>
      <c r="F50" s="2">
        <v>3</v>
      </c>
      <c r="G50" s="2">
        <v>0</v>
      </c>
    </row>
    <row r="51" spans="2:7" x14ac:dyDescent="0.35">
      <c r="B51" s="1">
        <v>46004</v>
      </c>
      <c r="C51" s="1"/>
      <c r="D51" t="s">
        <v>43</v>
      </c>
      <c r="F51" s="2">
        <v>4.4800000000000004</v>
      </c>
      <c r="G51" s="2">
        <v>0</v>
      </c>
    </row>
    <row r="52" spans="2:7" x14ac:dyDescent="0.35">
      <c r="B52" s="1">
        <v>45979</v>
      </c>
      <c r="C52" s="1"/>
      <c r="D52" t="s">
        <v>44</v>
      </c>
      <c r="F52" s="2">
        <v>2</v>
      </c>
      <c r="G52" s="2">
        <v>0</v>
      </c>
    </row>
    <row r="53" spans="2:7" x14ac:dyDescent="0.35">
      <c r="B53" s="1">
        <v>46009</v>
      </c>
      <c r="C53" s="1"/>
      <c r="D53" t="s">
        <v>45</v>
      </c>
      <c r="F53" s="2">
        <v>3</v>
      </c>
      <c r="G53" s="2">
        <v>0</v>
      </c>
    </row>
    <row r="54" spans="2:7" x14ac:dyDescent="0.35">
      <c r="B54" s="1">
        <v>46003</v>
      </c>
      <c r="C54" s="1"/>
      <c r="D54" t="s">
        <v>46</v>
      </c>
      <c r="F54" s="2">
        <v>2</v>
      </c>
      <c r="G54" s="2">
        <v>0</v>
      </c>
    </row>
    <row r="55" spans="2:7" x14ac:dyDescent="0.35">
      <c r="B55" s="1">
        <v>45997</v>
      </c>
      <c r="C55" s="1"/>
      <c r="D55" t="s">
        <v>47</v>
      </c>
      <c r="F55" s="2">
        <v>4.1500000000000004</v>
      </c>
      <c r="G55" s="2">
        <v>0</v>
      </c>
    </row>
    <row r="56" spans="2:7" x14ac:dyDescent="0.35">
      <c r="B56" s="1">
        <v>45974</v>
      </c>
      <c r="C56" s="1"/>
      <c r="D56" t="s">
        <v>48</v>
      </c>
      <c r="F56" s="2">
        <v>2</v>
      </c>
      <c r="G56" s="2">
        <v>0</v>
      </c>
    </row>
    <row r="57" spans="2:7" x14ac:dyDescent="0.35">
      <c r="B57" s="1">
        <v>46006</v>
      </c>
      <c r="C57" s="1"/>
      <c r="D57" t="s">
        <v>49</v>
      </c>
      <c r="F57" s="2">
        <v>13.32</v>
      </c>
      <c r="G57" s="2">
        <v>0</v>
      </c>
    </row>
    <row r="58" spans="2:7" x14ac:dyDescent="0.35">
      <c r="B58" s="1">
        <v>45915</v>
      </c>
      <c r="C58" s="1"/>
      <c r="D58" t="s">
        <v>50</v>
      </c>
      <c r="F58" s="2">
        <v>26.94</v>
      </c>
      <c r="G58" s="2">
        <v>0</v>
      </c>
    </row>
    <row r="59" spans="2:7" x14ac:dyDescent="0.35">
      <c r="B59" s="1"/>
      <c r="C59" s="1"/>
    </row>
    <row r="60" spans="2:7" x14ac:dyDescent="0.35">
      <c r="B60" s="1"/>
      <c r="C60" s="1"/>
    </row>
    <row r="61" spans="2:7" x14ac:dyDescent="0.35">
      <c r="B61" s="1">
        <v>45911</v>
      </c>
      <c r="C61" s="1"/>
      <c r="D61" t="s">
        <v>51</v>
      </c>
      <c r="F61" s="2">
        <v>0</v>
      </c>
      <c r="G61" s="2">
        <v>-180.04</v>
      </c>
    </row>
    <row r="62" spans="2:7" x14ac:dyDescent="0.35">
      <c r="B62" s="1">
        <v>45883</v>
      </c>
      <c r="C62" s="1"/>
      <c r="D62" t="s">
        <v>52</v>
      </c>
      <c r="F62" s="2">
        <v>0</v>
      </c>
      <c r="G62" s="2">
        <v>-98</v>
      </c>
    </row>
    <row r="63" spans="2:7" x14ac:dyDescent="0.35">
      <c r="B63" s="1">
        <v>45839</v>
      </c>
      <c r="C63" s="1"/>
      <c r="D63" t="s">
        <v>53</v>
      </c>
      <c r="F63" s="2">
        <v>0</v>
      </c>
      <c r="G63" s="2">
        <v>-32.909999999999997</v>
      </c>
    </row>
    <row r="64" spans="2:7" x14ac:dyDescent="0.35">
      <c r="B64" s="1">
        <v>45839</v>
      </c>
      <c r="C64" s="1"/>
      <c r="D64" t="s">
        <v>53</v>
      </c>
      <c r="F64" s="2">
        <v>0</v>
      </c>
      <c r="G64" s="2">
        <v>-159.91999999999999</v>
      </c>
    </row>
    <row r="65" spans="2:7" x14ac:dyDescent="0.35">
      <c r="B65" s="1">
        <v>45856</v>
      </c>
      <c r="C65" s="1"/>
      <c r="D65" t="s">
        <v>53</v>
      </c>
      <c r="F65" s="2">
        <v>0</v>
      </c>
      <c r="G65" s="2">
        <v>-32.909999999999997</v>
      </c>
    </row>
    <row r="66" spans="2:7" x14ac:dyDescent="0.35">
      <c r="B66" s="1">
        <v>45876</v>
      </c>
      <c r="C66" s="1"/>
      <c r="D66" t="s">
        <v>53</v>
      </c>
      <c r="F66" s="2">
        <v>0</v>
      </c>
      <c r="G66" s="2">
        <v>-131.41999999999999</v>
      </c>
    </row>
    <row r="67" spans="2:7" x14ac:dyDescent="0.35">
      <c r="B67" s="1">
        <v>45903</v>
      </c>
      <c r="C67" s="1"/>
      <c r="D67" t="s">
        <v>53</v>
      </c>
      <c r="F67" s="2">
        <v>0</v>
      </c>
      <c r="G67" s="2">
        <v>-131.47</v>
      </c>
    </row>
    <row r="68" spans="2:7" x14ac:dyDescent="0.35">
      <c r="B68" s="1">
        <v>45939</v>
      </c>
      <c r="C68" s="1"/>
      <c r="D68" t="s">
        <v>53</v>
      </c>
      <c r="F68" s="2">
        <v>0</v>
      </c>
      <c r="G68" s="2">
        <v>-146.01</v>
      </c>
    </row>
    <row r="69" spans="2:7" x14ac:dyDescent="0.35">
      <c r="B69" s="1">
        <v>45940</v>
      </c>
      <c r="C69" s="1"/>
      <c r="D69" t="s">
        <v>53</v>
      </c>
      <c r="F69" s="2">
        <v>0</v>
      </c>
      <c r="G69" s="2">
        <v>-112.06</v>
      </c>
    </row>
    <row r="70" spans="2:7" x14ac:dyDescent="0.35">
      <c r="B70" s="1">
        <v>45960</v>
      </c>
      <c r="C70" s="1"/>
      <c r="D70" t="s">
        <v>53</v>
      </c>
      <c r="F70" s="2">
        <v>0</v>
      </c>
      <c r="G70" s="2">
        <v>-51.92</v>
      </c>
    </row>
    <row r="71" spans="2:7" x14ac:dyDescent="0.35">
      <c r="B71" s="1">
        <v>45925</v>
      </c>
      <c r="C71" s="1"/>
      <c r="D71" t="s">
        <v>54</v>
      </c>
      <c r="F71" s="2">
        <v>0</v>
      </c>
      <c r="G71" s="2">
        <v>-135.08000000000001</v>
      </c>
    </row>
    <row r="72" spans="2:7" x14ac:dyDescent="0.35">
      <c r="B72" s="1">
        <v>45891</v>
      </c>
      <c r="C72" s="1"/>
      <c r="D72" t="s">
        <v>55</v>
      </c>
      <c r="F72" s="2">
        <v>0</v>
      </c>
      <c r="G72" s="2">
        <v>-112.82</v>
      </c>
    </row>
    <row r="73" spans="2:7" x14ac:dyDescent="0.35">
      <c r="B73" s="1">
        <v>45954</v>
      </c>
      <c r="C73" s="1"/>
      <c r="D73" t="s">
        <v>56</v>
      </c>
      <c r="F73" s="2">
        <v>0</v>
      </c>
      <c r="G73" s="2">
        <v>-7</v>
      </c>
    </row>
    <row r="74" spans="2:7" x14ac:dyDescent="0.35">
      <c r="B74" s="1">
        <v>45894</v>
      </c>
      <c r="C74" s="1"/>
      <c r="D74" t="s">
        <v>57</v>
      </c>
      <c r="F74" s="2">
        <v>0</v>
      </c>
      <c r="G74" s="2">
        <v>-136.4</v>
      </c>
    </row>
    <row r="75" spans="2:7" x14ac:dyDescent="0.35">
      <c r="B75" s="1">
        <v>45925</v>
      </c>
      <c r="C75" s="1"/>
      <c r="D75" t="s">
        <v>58</v>
      </c>
      <c r="F75" s="2">
        <v>0</v>
      </c>
      <c r="G75" s="2">
        <v>-136.5</v>
      </c>
    </row>
    <row r="76" spans="2:7" x14ac:dyDescent="0.35">
      <c r="B76" s="1">
        <v>45852</v>
      </c>
      <c r="C76" s="1"/>
      <c r="D76" t="s">
        <v>59</v>
      </c>
      <c r="F76" s="2">
        <v>0</v>
      </c>
      <c r="G76" s="2">
        <v>-26.94</v>
      </c>
    </row>
    <row r="77" spans="2:7" x14ac:dyDescent="0.35">
      <c r="B77" s="1">
        <v>45994</v>
      </c>
      <c r="C77" s="1"/>
      <c r="D77" t="s">
        <v>60</v>
      </c>
      <c r="F77" s="2">
        <v>0</v>
      </c>
      <c r="G77" s="2">
        <v>-64.72</v>
      </c>
    </row>
    <row r="78" spans="2:7" x14ac:dyDescent="0.35">
      <c r="B78" s="1">
        <v>45947</v>
      </c>
      <c r="C78" s="1"/>
      <c r="D78" t="s">
        <v>61</v>
      </c>
      <c r="F78" s="2">
        <v>0</v>
      </c>
      <c r="G78" s="2">
        <v>-26.84</v>
      </c>
    </row>
    <row r="79" spans="2:7" x14ac:dyDescent="0.35">
      <c r="B79" s="1">
        <v>45995</v>
      </c>
      <c r="C79" s="1"/>
      <c r="D79" t="s">
        <v>61</v>
      </c>
      <c r="F79" s="2">
        <v>0</v>
      </c>
      <c r="G79" s="2">
        <v>-46.12</v>
      </c>
    </row>
    <row r="80" spans="2:7" x14ac:dyDescent="0.35">
      <c r="B80" s="1">
        <v>45947</v>
      </c>
      <c r="C80" s="1"/>
      <c r="D80" t="s">
        <v>62</v>
      </c>
      <c r="F80" s="2">
        <v>0</v>
      </c>
      <c r="G80" s="2">
        <v>-25.38</v>
      </c>
    </row>
    <row r="81" spans="2:7" x14ac:dyDescent="0.35">
      <c r="B81" s="1">
        <v>45867</v>
      </c>
      <c r="C81" s="1"/>
      <c r="D81" t="s">
        <v>63</v>
      </c>
      <c r="F81" s="2">
        <v>0</v>
      </c>
      <c r="G81" s="2">
        <v>-19.420000000000002</v>
      </c>
    </row>
    <row r="82" spans="2:7" x14ac:dyDescent="0.35">
      <c r="B82" s="1">
        <v>45867</v>
      </c>
      <c r="C82" s="1"/>
      <c r="D82" t="s">
        <v>63</v>
      </c>
      <c r="F82" s="2">
        <v>0</v>
      </c>
      <c r="G82" s="2">
        <v>-134.56</v>
      </c>
    </row>
    <row r="83" spans="2:7" x14ac:dyDescent="0.35">
      <c r="B83" s="1">
        <v>45868</v>
      </c>
      <c r="C83" s="1"/>
      <c r="D83" t="s">
        <v>63</v>
      </c>
      <c r="F83" s="2">
        <v>0</v>
      </c>
      <c r="G83" s="2">
        <v>-7.71</v>
      </c>
    </row>
    <row r="84" spans="2:7" x14ac:dyDescent="0.35">
      <c r="B84" s="1">
        <v>45868</v>
      </c>
      <c r="C84" s="1"/>
      <c r="D84" t="s">
        <v>63</v>
      </c>
      <c r="F84" s="2">
        <v>0</v>
      </c>
      <c r="G84" s="2">
        <v>-12.92</v>
      </c>
    </row>
    <row r="85" spans="2:7" x14ac:dyDescent="0.35">
      <c r="B85" s="1">
        <v>45869</v>
      </c>
      <c r="C85" s="1"/>
      <c r="D85" t="s">
        <v>63</v>
      </c>
      <c r="F85" s="2">
        <v>0</v>
      </c>
      <c r="G85" s="2">
        <v>-9.4499999999999993</v>
      </c>
    </row>
    <row r="86" spans="2:7" x14ac:dyDescent="0.35">
      <c r="B86" s="1">
        <v>45870</v>
      </c>
      <c r="C86" s="1"/>
      <c r="D86" t="s">
        <v>63</v>
      </c>
      <c r="F86" s="2">
        <v>0</v>
      </c>
      <c r="G86" s="2">
        <v>-6.46</v>
      </c>
    </row>
    <row r="87" spans="2:7" x14ac:dyDescent="0.35">
      <c r="B87" s="1">
        <v>45873</v>
      </c>
      <c r="C87" s="1"/>
      <c r="D87" t="s">
        <v>63</v>
      </c>
      <c r="F87" s="2">
        <v>0</v>
      </c>
      <c r="G87" s="2">
        <v>-14.13</v>
      </c>
    </row>
    <row r="88" spans="2:7" x14ac:dyDescent="0.35">
      <c r="B88" s="1">
        <v>45873</v>
      </c>
      <c r="C88" s="1"/>
      <c r="D88" t="s">
        <v>63</v>
      </c>
      <c r="F88" s="2">
        <v>0</v>
      </c>
      <c r="G88" s="2">
        <v>-14.13</v>
      </c>
    </row>
    <row r="89" spans="2:7" x14ac:dyDescent="0.35">
      <c r="B89" s="1">
        <v>45873</v>
      </c>
      <c r="C89" s="1"/>
      <c r="D89" t="s">
        <v>63</v>
      </c>
      <c r="F89" s="2">
        <v>0</v>
      </c>
      <c r="G89" s="2">
        <v>-33.01</v>
      </c>
    </row>
    <row r="90" spans="2:7" x14ac:dyDescent="0.35">
      <c r="B90" s="1">
        <v>45873</v>
      </c>
      <c r="C90" s="1"/>
      <c r="D90" t="s">
        <v>63</v>
      </c>
      <c r="F90" s="2">
        <v>0</v>
      </c>
      <c r="G90" s="2">
        <v>-47.97</v>
      </c>
    </row>
    <row r="91" spans="2:7" x14ac:dyDescent="0.35">
      <c r="B91" s="1">
        <v>45873</v>
      </c>
      <c r="C91" s="1"/>
      <c r="D91" t="s">
        <v>63</v>
      </c>
      <c r="F91" s="2">
        <v>0</v>
      </c>
      <c r="G91" s="2">
        <v>-159.13999999999999</v>
      </c>
    </row>
    <row r="92" spans="2:7" x14ac:dyDescent="0.35">
      <c r="B92" s="1">
        <v>45875</v>
      </c>
      <c r="C92" s="1"/>
      <c r="D92" t="s">
        <v>63</v>
      </c>
      <c r="F92" s="2">
        <v>0</v>
      </c>
      <c r="G92" s="2">
        <v>-8.26</v>
      </c>
    </row>
    <row r="93" spans="2:7" x14ac:dyDescent="0.35">
      <c r="B93" s="1">
        <v>45875</v>
      </c>
      <c r="C93" s="1"/>
      <c r="D93" t="s">
        <v>63</v>
      </c>
      <c r="F93" s="2">
        <v>0</v>
      </c>
      <c r="G93" s="2">
        <v>-9.4499999999999993</v>
      </c>
    </row>
    <row r="94" spans="2:7" x14ac:dyDescent="0.35">
      <c r="B94" s="1">
        <v>45875</v>
      </c>
      <c r="C94" s="1"/>
      <c r="D94" t="s">
        <v>63</v>
      </c>
      <c r="F94" s="2">
        <v>0</v>
      </c>
      <c r="G94" s="2">
        <v>-9.93</v>
      </c>
    </row>
    <row r="95" spans="2:7" x14ac:dyDescent="0.35">
      <c r="B95" s="1">
        <v>45875</v>
      </c>
      <c r="C95" s="1"/>
      <c r="D95" t="s">
        <v>63</v>
      </c>
      <c r="F95" s="2">
        <v>0</v>
      </c>
      <c r="G95" s="2">
        <v>-32.549999999999997</v>
      </c>
    </row>
    <row r="96" spans="2:7" x14ac:dyDescent="0.35">
      <c r="B96" s="1">
        <v>45875</v>
      </c>
      <c r="C96" s="1"/>
      <c r="D96" t="s">
        <v>63</v>
      </c>
      <c r="F96" s="2">
        <v>0</v>
      </c>
      <c r="G96" s="2">
        <v>-120.55</v>
      </c>
    </row>
    <row r="97" spans="2:7" x14ac:dyDescent="0.35">
      <c r="B97" s="1">
        <v>45877</v>
      </c>
      <c r="C97" s="1"/>
      <c r="D97" t="s">
        <v>63</v>
      </c>
      <c r="F97" s="2">
        <v>0</v>
      </c>
      <c r="G97" s="2">
        <v>-17.12</v>
      </c>
    </row>
    <row r="98" spans="2:7" x14ac:dyDescent="0.35">
      <c r="B98" s="1">
        <v>45880</v>
      </c>
      <c r="C98" s="1"/>
      <c r="D98" t="s">
        <v>63</v>
      </c>
      <c r="F98" s="2">
        <v>0</v>
      </c>
      <c r="G98" s="2">
        <v>-8.15</v>
      </c>
    </row>
    <row r="99" spans="2:7" x14ac:dyDescent="0.35">
      <c r="B99" s="1">
        <v>45880</v>
      </c>
      <c r="C99" s="1"/>
      <c r="D99" t="s">
        <v>63</v>
      </c>
      <c r="F99" s="2">
        <v>0</v>
      </c>
      <c r="G99" s="2">
        <v>-16.04</v>
      </c>
    </row>
    <row r="100" spans="2:7" x14ac:dyDescent="0.35">
      <c r="B100" s="1">
        <v>45882</v>
      </c>
      <c r="C100" s="1"/>
      <c r="D100" t="s">
        <v>63</v>
      </c>
      <c r="F100" s="2">
        <v>0</v>
      </c>
      <c r="G100" s="2">
        <v>-8.15</v>
      </c>
    </row>
    <row r="101" spans="2:7" x14ac:dyDescent="0.35">
      <c r="B101" s="1">
        <v>45882</v>
      </c>
      <c r="C101" s="1"/>
      <c r="D101" t="s">
        <v>63</v>
      </c>
      <c r="F101" s="2">
        <v>0</v>
      </c>
      <c r="G101" s="2">
        <v>-38.299999999999997</v>
      </c>
    </row>
    <row r="102" spans="2:7" x14ac:dyDescent="0.35">
      <c r="B102" s="1">
        <v>45882</v>
      </c>
      <c r="C102" s="1"/>
      <c r="D102" t="s">
        <v>63</v>
      </c>
      <c r="F102" s="2">
        <v>0</v>
      </c>
      <c r="G102" s="2">
        <v>-51.63</v>
      </c>
    </row>
    <row r="103" spans="2:7" x14ac:dyDescent="0.35">
      <c r="B103" s="1">
        <v>45882</v>
      </c>
      <c r="C103" s="1"/>
      <c r="D103" t="s">
        <v>63</v>
      </c>
      <c r="F103" s="2">
        <v>0</v>
      </c>
      <c r="G103" s="2">
        <v>-175</v>
      </c>
    </row>
    <row r="104" spans="2:7" x14ac:dyDescent="0.35">
      <c r="B104" s="1">
        <v>45883</v>
      </c>
      <c r="C104" s="1"/>
      <c r="D104" t="s">
        <v>63</v>
      </c>
      <c r="F104" s="2">
        <v>0</v>
      </c>
      <c r="G104" s="2">
        <v>-8.15</v>
      </c>
    </row>
    <row r="105" spans="2:7" x14ac:dyDescent="0.35">
      <c r="B105" s="1">
        <v>45883</v>
      </c>
      <c r="C105" s="1"/>
      <c r="D105" t="s">
        <v>63</v>
      </c>
      <c r="F105" s="2">
        <v>0</v>
      </c>
      <c r="G105" s="2">
        <v>-92.19</v>
      </c>
    </row>
    <row r="106" spans="2:7" x14ac:dyDescent="0.35">
      <c r="B106" s="1">
        <v>45884</v>
      </c>
      <c r="C106" s="1"/>
      <c r="D106" t="s">
        <v>63</v>
      </c>
      <c r="F106" s="2">
        <v>0</v>
      </c>
      <c r="G106" s="2">
        <v>-12.92</v>
      </c>
    </row>
    <row r="107" spans="2:7" x14ac:dyDescent="0.35">
      <c r="B107" s="1">
        <v>45884</v>
      </c>
      <c r="C107" s="1"/>
      <c r="D107" t="s">
        <v>63</v>
      </c>
      <c r="F107" s="2">
        <v>0</v>
      </c>
      <c r="G107" s="2">
        <v>-14.13</v>
      </c>
    </row>
    <row r="108" spans="2:7" x14ac:dyDescent="0.35">
      <c r="B108" s="1">
        <v>45884</v>
      </c>
      <c r="C108" s="1"/>
      <c r="D108" t="s">
        <v>63</v>
      </c>
      <c r="F108" s="2">
        <v>0</v>
      </c>
      <c r="G108" s="2">
        <v>-23.36</v>
      </c>
    </row>
    <row r="109" spans="2:7" x14ac:dyDescent="0.35">
      <c r="B109" s="1">
        <v>45884</v>
      </c>
      <c r="C109" s="1"/>
      <c r="D109" t="s">
        <v>63</v>
      </c>
      <c r="F109" s="2">
        <v>0</v>
      </c>
      <c r="G109" s="2">
        <v>-43.03</v>
      </c>
    </row>
    <row r="110" spans="2:7" x14ac:dyDescent="0.35">
      <c r="B110" s="1">
        <v>45884</v>
      </c>
      <c r="C110" s="1"/>
      <c r="D110" t="s">
        <v>63</v>
      </c>
      <c r="F110" s="2">
        <v>0</v>
      </c>
      <c r="G110" s="2">
        <v>-128.99</v>
      </c>
    </row>
    <row r="111" spans="2:7" x14ac:dyDescent="0.35">
      <c r="B111" s="1">
        <v>45887</v>
      </c>
      <c r="C111" s="1"/>
      <c r="D111" t="s">
        <v>63</v>
      </c>
      <c r="F111" s="2">
        <v>0</v>
      </c>
      <c r="G111" s="2">
        <v>-9.5299999999999994</v>
      </c>
    </row>
    <row r="112" spans="2:7" x14ac:dyDescent="0.35">
      <c r="B112" s="1">
        <v>45887</v>
      </c>
      <c r="C112" s="1"/>
      <c r="D112" t="s">
        <v>63</v>
      </c>
      <c r="F112" s="2">
        <v>0</v>
      </c>
      <c r="G112" s="2">
        <v>-13.42</v>
      </c>
    </row>
    <row r="113" spans="2:7" x14ac:dyDescent="0.35">
      <c r="B113" s="1">
        <v>45888</v>
      </c>
      <c r="C113" s="1"/>
      <c r="D113" t="s">
        <v>63</v>
      </c>
      <c r="F113" s="2">
        <v>0</v>
      </c>
      <c r="G113" s="2">
        <v>-70.010000000000005</v>
      </c>
    </row>
    <row r="114" spans="2:7" x14ac:dyDescent="0.35">
      <c r="B114" s="1">
        <v>45888</v>
      </c>
      <c r="C114" s="1"/>
      <c r="D114" t="s">
        <v>63</v>
      </c>
      <c r="F114" s="2">
        <v>0</v>
      </c>
      <c r="G114" s="2">
        <v>-125.47</v>
      </c>
    </row>
    <row r="115" spans="2:7" x14ac:dyDescent="0.35">
      <c r="B115" s="1">
        <v>45898</v>
      </c>
      <c r="C115" s="1"/>
      <c r="D115" t="s">
        <v>63</v>
      </c>
      <c r="F115" s="2">
        <v>0</v>
      </c>
      <c r="G115" s="2">
        <v>-14.13</v>
      </c>
    </row>
    <row r="116" spans="2:7" x14ac:dyDescent="0.35">
      <c r="B116" s="1">
        <v>45898</v>
      </c>
      <c r="C116" s="1"/>
      <c r="D116" t="s">
        <v>63</v>
      </c>
      <c r="F116" s="2">
        <v>0</v>
      </c>
      <c r="G116" s="2">
        <v>-18.02</v>
      </c>
    </row>
    <row r="117" spans="2:7" x14ac:dyDescent="0.35">
      <c r="B117" s="1">
        <v>45903</v>
      </c>
      <c r="C117" s="1"/>
      <c r="D117" t="s">
        <v>63</v>
      </c>
      <c r="F117" s="2">
        <v>0</v>
      </c>
      <c r="G117" s="2">
        <v>-2.52</v>
      </c>
    </row>
    <row r="118" spans="2:7" x14ac:dyDescent="0.35">
      <c r="B118" s="1">
        <v>45903</v>
      </c>
      <c r="C118" s="1"/>
      <c r="D118" t="s">
        <v>63</v>
      </c>
      <c r="F118" s="2">
        <v>0</v>
      </c>
      <c r="G118" s="2">
        <v>-76.48</v>
      </c>
    </row>
    <row r="119" spans="2:7" x14ac:dyDescent="0.35">
      <c r="B119" s="1">
        <v>45903</v>
      </c>
      <c r="C119" s="1"/>
      <c r="D119" t="s">
        <v>63</v>
      </c>
      <c r="F119" s="2">
        <v>0</v>
      </c>
      <c r="G119" s="2">
        <v>-162.56</v>
      </c>
    </row>
    <row r="120" spans="2:7" x14ac:dyDescent="0.35">
      <c r="B120" s="1">
        <v>45908</v>
      </c>
      <c r="C120" s="1"/>
      <c r="D120" t="s">
        <v>63</v>
      </c>
      <c r="F120" s="2">
        <v>0</v>
      </c>
      <c r="G120" s="2">
        <v>-14.13</v>
      </c>
    </row>
    <row r="121" spans="2:7" x14ac:dyDescent="0.35">
      <c r="B121" s="1">
        <v>45908</v>
      </c>
      <c r="C121" s="1"/>
      <c r="D121" t="s">
        <v>63</v>
      </c>
      <c r="F121" s="2">
        <v>0</v>
      </c>
      <c r="G121" s="2">
        <v>-141.77000000000001</v>
      </c>
    </row>
    <row r="122" spans="2:7" x14ac:dyDescent="0.35">
      <c r="B122" s="1">
        <v>45911</v>
      </c>
      <c r="C122" s="1"/>
      <c r="D122" t="s">
        <v>63</v>
      </c>
      <c r="F122" s="2">
        <v>0</v>
      </c>
      <c r="G122" s="2">
        <v>-131.41999999999999</v>
      </c>
    </row>
    <row r="123" spans="2:7" x14ac:dyDescent="0.35">
      <c r="B123" s="1">
        <v>45917</v>
      </c>
      <c r="C123" s="1"/>
      <c r="D123" t="s">
        <v>63</v>
      </c>
      <c r="F123" s="2">
        <v>0</v>
      </c>
      <c r="G123" s="2">
        <v>-15.13</v>
      </c>
    </row>
    <row r="124" spans="2:7" x14ac:dyDescent="0.35">
      <c r="B124" s="1">
        <v>45917</v>
      </c>
      <c r="C124" s="1"/>
      <c r="D124" t="s">
        <v>63</v>
      </c>
      <c r="F124" s="2">
        <v>0</v>
      </c>
      <c r="G124" s="2">
        <v>-43.81</v>
      </c>
    </row>
    <row r="125" spans="2:7" x14ac:dyDescent="0.35">
      <c r="B125" s="1">
        <v>45917</v>
      </c>
      <c r="C125" s="1"/>
      <c r="D125" t="s">
        <v>63</v>
      </c>
      <c r="F125" s="2">
        <v>0</v>
      </c>
      <c r="G125" s="2">
        <v>-162.58000000000001</v>
      </c>
    </row>
    <row r="126" spans="2:7" x14ac:dyDescent="0.35">
      <c r="B126" s="1">
        <v>45918</v>
      </c>
      <c r="C126" s="1"/>
      <c r="D126" t="s">
        <v>63</v>
      </c>
      <c r="F126" s="2">
        <v>0</v>
      </c>
      <c r="G126" s="2">
        <v>-70.040000000000006</v>
      </c>
    </row>
    <row r="127" spans="2:7" x14ac:dyDescent="0.35">
      <c r="B127" s="1">
        <v>45919</v>
      </c>
      <c r="C127" s="1"/>
      <c r="D127" t="s">
        <v>63</v>
      </c>
      <c r="F127" s="2">
        <v>0</v>
      </c>
      <c r="G127" s="2">
        <v>-11.67</v>
      </c>
    </row>
    <row r="128" spans="2:7" x14ac:dyDescent="0.35">
      <c r="B128" s="1">
        <v>45919</v>
      </c>
      <c r="C128" s="1"/>
      <c r="D128" t="s">
        <v>63</v>
      </c>
      <c r="F128" s="2">
        <v>0</v>
      </c>
      <c r="G128" s="2">
        <v>-14.13</v>
      </c>
    </row>
    <row r="129" spans="2:7" x14ac:dyDescent="0.35">
      <c r="B129" s="1">
        <v>45924</v>
      </c>
      <c r="C129" s="1"/>
      <c r="D129" t="s">
        <v>63</v>
      </c>
      <c r="F129" s="2">
        <v>0</v>
      </c>
      <c r="G129" s="2">
        <v>-12.92</v>
      </c>
    </row>
    <row r="130" spans="2:7" x14ac:dyDescent="0.35">
      <c r="B130" s="1">
        <v>45924</v>
      </c>
      <c r="C130" s="1"/>
      <c r="D130" t="s">
        <v>63</v>
      </c>
      <c r="F130" s="2">
        <v>0</v>
      </c>
      <c r="G130" s="2">
        <v>-14.13</v>
      </c>
    </row>
    <row r="131" spans="2:7" x14ac:dyDescent="0.35">
      <c r="B131" s="1">
        <v>45924</v>
      </c>
      <c r="C131" s="1"/>
      <c r="D131" t="s">
        <v>63</v>
      </c>
      <c r="F131" s="2">
        <v>0</v>
      </c>
      <c r="G131" s="2">
        <v>-16.62</v>
      </c>
    </row>
    <row r="132" spans="2:7" x14ac:dyDescent="0.35">
      <c r="B132" s="1">
        <v>45930</v>
      </c>
      <c r="C132" s="1"/>
      <c r="D132" t="s">
        <v>63</v>
      </c>
      <c r="F132" s="2">
        <v>0</v>
      </c>
      <c r="G132" s="2">
        <v>-20.36</v>
      </c>
    </row>
    <row r="133" spans="2:7" x14ac:dyDescent="0.35">
      <c r="B133" s="1">
        <v>45930</v>
      </c>
      <c r="C133" s="1"/>
      <c r="D133" t="s">
        <v>63</v>
      </c>
      <c r="F133" s="2">
        <v>0</v>
      </c>
      <c r="G133" s="2">
        <v>-134.26</v>
      </c>
    </row>
    <row r="134" spans="2:7" x14ac:dyDescent="0.35">
      <c r="B134" s="1">
        <v>45930</v>
      </c>
      <c r="C134" s="1"/>
      <c r="D134" t="s">
        <v>63</v>
      </c>
      <c r="F134" s="2">
        <v>0</v>
      </c>
      <c r="G134" s="2">
        <v>-144.75</v>
      </c>
    </row>
    <row r="135" spans="2:7" x14ac:dyDescent="0.35">
      <c r="B135" s="1">
        <v>45931</v>
      </c>
      <c r="C135" s="1"/>
      <c r="D135" t="s">
        <v>63</v>
      </c>
      <c r="F135" s="2">
        <v>0</v>
      </c>
      <c r="G135" s="2">
        <v>-115.86</v>
      </c>
    </row>
    <row r="136" spans="2:7" x14ac:dyDescent="0.35">
      <c r="B136" s="1">
        <v>45943</v>
      </c>
      <c r="C136" s="1"/>
      <c r="D136" t="s">
        <v>63</v>
      </c>
      <c r="F136" s="2">
        <v>0</v>
      </c>
      <c r="G136" s="2">
        <v>-17.98</v>
      </c>
    </row>
    <row r="137" spans="2:7" x14ac:dyDescent="0.35">
      <c r="B137" s="1">
        <v>45999</v>
      </c>
      <c r="C137" s="1"/>
      <c r="D137" t="s">
        <v>63</v>
      </c>
      <c r="F137" s="2">
        <v>0</v>
      </c>
      <c r="G137" s="2">
        <v>-55.97</v>
      </c>
    </row>
    <row r="138" spans="2:7" x14ac:dyDescent="0.35">
      <c r="B138" s="1">
        <v>46044</v>
      </c>
      <c r="C138" s="1"/>
      <c r="D138" t="s">
        <v>64</v>
      </c>
      <c r="F138" s="2">
        <v>0</v>
      </c>
      <c r="G138" s="2">
        <v>-103.58</v>
      </c>
    </row>
    <row r="139" spans="2:7" x14ac:dyDescent="0.35">
      <c r="B139" s="1">
        <v>45894</v>
      </c>
      <c r="C139" s="1"/>
      <c r="D139" t="s">
        <v>65</v>
      </c>
      <c r="F139" s="2">
        <v>0</v>
      </c>
      <c r="G139" s="2">
        <v>-3.02</v>
      </c>
    </row>
    <row r="140" spans="2:7" x14ac:dyDescent="0.35">
      <c r="B140" s="1">
        <v>45938</v>
      </c>
      <c r="C140" s="1"/>
      <c r="D140" t="s">
        <v>66</v>
      </c>
      <c r="F140" s="2">
        <v>0</v>
      </c>
      <c r="G140" s="2">
        <v>-29.68</v>
      </c>
    </row>
    <row r="141" spans="2:7" x14ac:dyDescent="0.35">
      <c r="B141" s="1">
        <v>45996</v>
      </c>
      <c r="C141" s="1"/>
      <c r="D141" t="s">
        <v>67</v>
      </c>
      <c r="F141" s="2">
        <v>0</v>
      </c>
      <c r="G141" s="2">
        <v>-1971.06</v>
      </c>
    </row>
    <row r="142" spans="2:7" x14ac:dyDescent="0.35">
      <c r="B142" s="1">
        <v>45929</v>
      </c>
      <c r="C142" s="1"/>
      <c r="D142" t="s">
        <v>68</v>
      </c>
      <c r="F142" s="2">
        <v>0</v>
      </c>
      <c r="G142" s="2">
        <v>-291.91000000000003</v>
      </c>
    </row>
    <row r="143" spans="2:7" x14ac:dyDescent="0.35">
      <c r="B143" s="1">
        <v>45979</v>
      </c>
      <c r="C143" s="1"/>
      <c r="D143" t="s">
        <v>68</v>
      </c>
      <c r="F143" s="2">
        <v>0</v>
      </c>
      <c r="G143" s="2">
        <v>-468.55</v>
      </c>
    </row>
    <row r="144" spans="2:7" x14ac:dyDescent="0.35">
      <c r="B144" s="1">
        <v>45980</v>
      </c>
      <c r="C144" s="1"/>
      <c r="D144" t="s">
        <v>68</v>
      </c>
      <c r="F144" s="2">
        <v>0</v>
      </c>
      <c r="G144" s="2">
        <v>-303.33999999999997</v>
      </c>
    </row>
    <row r="145" spans="2:7" x14ac:dyDescent="0.35">
      <c r="B145" s="1">
        <v>45986</v>
      </c>
      <c r="C145" s="1"/>
      <c r="D145" t="s">
        <v>68</v>
      </c>
      <c r="F145" s="2">
        <v>0</v>
      </c>
      <c r="G145" s="2">
        <v>-1226.54</v>
      </c>
    </row>
    <row r="146" spans="2:7" x14ac:dyDescent="0.35">
      <c r="B146" s="1">
        <v>45856</v>
      </c>
      <c r="C146" s="1"/>
      <c r="D146" t="s">
        <v>69</v>
      </c>
      <c r="F146" s="2">
        <v>0</v>
      </c>
      <c r="G146" s="2">
        <v>-140</v>
      </c>
    </row>
    <row r="147" spans="2:7" x14ac:dyDescent="0.35">
      <c r="B147" s="1">
        <v>45899</v>
      </c>
      <c r="C147" s="1"/>
      <c r="D147" t="s">
        <v>69</v>
      </c>
      <c r="F147" s="2">
        <v>0</v>
      </c>
      <c r="G147" s="2">
        <v>-118.2</v>
      </c>
    </row>
    <row r="148" spans="2:7" x14ac:dyDescent="0.35">
      <c r="B148" s="1">
        <v>45848</v>
      </c>
      <c r="C148" s="1"/>
      <c r="D148" t="s">
        <v>70</v>
      </c>
      <c r="F148" s="2">
        <v>0</v>
      </c>
      <c r="G148" s="2">
        <v>-24.61</v>
      </c>
    </row>
    <row r="149" spans="2:7" x14ac:dyDescent="0.35">
      <c r="B149" s="1">
        <v>45880</v>
      </c>
      <c r="C149" s="1"/>
      <c r="D149" t="s">
        <v>71</v>
      </c>
      <c r="F149" s="2">
        <v>0</v>
      </c>
      <c r="G149" s="2">
        <v>-43.41</v>
      </c>
    </row>
    <row r="150" spans="2:7" x14ac:dyDescent="0.35">
      <c r="B150" s="1">
        <v>45938</v>
      </c>
      <c r="C150" s="1"/>
      <c r="D150" t="s">
        <v>72</v>
      </c>
      <c r="F150" s="2">
        <v>0</v>
      </c>
      <c r="G150" s="2">
        <v>-2.2000000000000002</v>
      </c>
    </row>
    <row r="151" spans="2:7" x14ac:dyDescent="0.35">
      <c r="B151" s="1">
        <v>45992</v>
      </c>
      <c r="C151" s="1"/>
      <c r="D151" t="s">
        <v>73</v>
      </c>
      <c r="F151" s="2">
        <v>0</v>
      </c>
      <c r="G151" s="2">
        <v>-27.15</v>
      </c>
    </row>
    <row r="152" spans="2:7" x14ac:dyDescent="0.35">
      <c r="B152" s="1">
        <v>45853</v>
      </c>
      <c r="C152" s="1"/>
      <c r="D152" t="s">
        <v>74</v>
      </c>
      <c r="F152" s="2">
        <v>0</v>
      </c>
      <c r="G152" s="2">
        <v>-0.16</v>
      </c>
    </row>
    <row r="153" spans="2:7" x14ac:dyDescent="0.35">
      <c r="B153" s="1">
        <v>45853</v>
      </c>
      <c r="C153" s="1"/>
      <c r="D153" t="s">
        <v>74</v>
      </c>
      <c r="F153" s="2">
        <v>0</v>
      </c>
      <c r="G153" s="2">
        <v>-40.18</v>
      </c>
    </row>
    <row r="154" spans="2:7" x14ac:dyDescent="0.35">
      <c r="B154" s="1">
        <v>45877</v>
      </c>
      <c r="C154" s="1"/>
      <c r="D154" t="s">
        <v>74</v>
      </c>
      <c r="F154" s="2">
        <v>0</v>
      </c>
      <c r="G154" s="2">
        <v>-150.77000000000001</v>
      </c>
    </row>
    <row r="155" spans="2:7" x14ac:dyDescent="0.35">
      <c r="B155" s="1">
        <v>45909</v>
      </c>
      <c r="C155" s="1"/>
      <c r="D155" t="s">
        <v>75</v>
      </c>
      <c r="F155" s="2">
        <v>0</v>
      </c>
      <c r="G155" s="2">
        <v>-14.83</v>
      </c>
    </row>
    <row r="156" spans="2:7" x14ac:dyDescent="0.35">
      <c r="B156" s="1">
        <v>46038</v>
      </c>
      <c r="C156" s="1"/>
      <c r="D156" t="s">
        <v>76</v>
      </c>
      <c r="F156" s="2">
        <v>0</v>
      </c>
      <c r="G156" s="2">
        <v>-76.58</v>
      </c>
    </row>
    <row r="157" spans="2:7" x14ac:dyDescent="0.35">
      <c r="B157" s="1">
        <v>45846</v>
      </c>
      <c r="C157" s="1"/>
      <c r="D157" t="s">
        <v>77</v>
      </c>
      <c r="F157" s="2">
        <v>0</v>
      </c>
      <c r="G157" s="2">
        <v>-162.38</v>
      </c>
    </row>
    <row r="158" spans="2:7" x14ac:dyDescent="0.35">
      <c r="B158" s="1">
        <v>45902</v>
      </c>
      <c r="C158" s="1"/>
      <c r="D158" t="s">
        <v>78</v>
      </c>
      <c r="F158" s="2">
        <v>0</v>
      </c>
      <c r="G158" s="2">
        <v>-14.92</v>
      </c>
    </row>
    <row r="159" spans="2:7" x14ac:dyDescent="0.35">
      <c r="B159" s="1">
        <v>45910</v>
      </c>
      <c r="C159" s="1"/>
      <c r="D159" t="s">
        <v>79</v>
      </c>
      <c r="F159" s="2">
        <v>0</v>
      </c>
      <c r="G159" s="2">
        <v>-178.85</v>
      </c>
    </row>
    <row r="160" spans="2:7" x14ac:dyDescent="0.35">
      <c r="B160" s="1">
        <v>45909</v>
      </c>
      <c r="C160" s="1"/>
      <c r="D160" t="s">
        <v>80</v>
      </c>
      <c r="F160" s="2">
        <v>0</v>
      </c>
      <c r="G160" s="2">
        <v>-52.1</v>
      </c>
    </row>
    <row r="161" spans="2:7" x14ac:dyDescent="0.35">
      <c r="B161" s="1">
        <v>45909</v>
      </c>
      <c r="C161" s="1"/>
      <c r="D161" t="s">
        <v>80</v>
      </c>
      <c r="F161" s="2">
        <v>0</v>
      </c>
      <c r="G161" s="2">
        <v>-175</v>
      </c>
    </row>
    <row r="162" spans="2:7" x14ac:dyDescent="0.35">
      <c r="B162" s="1">
        <v>45909</v>
      </c>
      <c r="C162" s="1"/>
      <c r="D162" t="s">
        <v>80</v>
      </c>
      <c r="F162" s="2">
        <v>0</v>
      </c>
      <c r="G162" s="2">
        <v>-175</v>
      </c>
    </row>
    <row r="163" spans="2:7" x14ac:dyDescent="0.35">
      <c r="B163" s="1">
        <v>45946</v>
      </c>
      <c r="C163" s="1"/>
      <c r="D163" t="s">
        <v>81</v>
      </c>
      <c r="F163" s="2">
        <v>0</v>
      </c>
      <c r="G163" s="2">
        <v>-22.45</v>
      </c>
    </row>
    <row r="164" spans="2:7" x14ac:dyDescent="0.35">
      <c r="B164" s="1">
        <v>45994</v>
      </c>
      <c r="C164" s="1"/>
      <c r="D164" t="s">
        <v>81</v>
      </c>
      <c r="F164" s="2">
        <v>0</v>
      </c>
      <c r="G164" s="2">
        <v>-25.43</v>
      </c>
    </row>
    <row r="165" spans="2:7" x14ac:dyDescent="0.35">
      <c r="B165" s="1">
        <v>45842</v>
      </c>
      <c r="C165" s="1"/>
      <c r="D165" t="s">
        <v>82</v>
      </c>
      <c r="F165" s="2">
        <v>0</v>
      </c>
      <c r="G165" s="2">
        <v>-136.47</v>
      </c>
    </row>
    <row r="166" spans="2:7" x14ac:dyDescent="0.35">
      <c r="B166" s="1">
        <v>45844</v>
      </c>
      <c r="C166" s="1"/>
      <c r="D166" t="s">
        <v>82</v>
      </c>
      <c r="F166" s="2">
        <v>0</v>
      </c>
      <c r="G166" s="2">
        <v>-85.44</v>
      </c>
    </row>
    <row r="167" spans="2:7" x14ac:dyDescent="0.35">
      <c r="B167" s="1">
        <v>45866</v>
      </c>
      <c r="C167" s="1"/>
      <c r="D167" t="s">
        <v>82</v>
      </c>
      <c r="F167" s="2">
        <v>0</v>
      </c>
      <c r="G167" s="2">
        <v>-135.03</v>
      </c>
    </row>
    <row r="168" spans="2:7" x14ac:dyDescent="0.35">
      <c r="B168" s="1">
        <v>45868</v>
      </c>
      <c r="C168" s="1"/>
      <c r="D168" t="s">
        <v>82</v>
      </c>
      <c r="F168" s="2">
        <v>0</v>
      </c>
      <c r="G168" s="2">
        <v>-106.08</v>
      </c>
    </row>
    <row r="169" spans="2:7" x14ac:dyDescent="0.35">
      <c r="B169" s="1">
        <v>45889</v>
      </c>
      <c r="C169" s="1"/>
      <c r="D169" t="s">
        <v>83</v>
      </c>
      <c r="F169" s="2">
        <v>0</v>
      </c>
      <c r="G169" s="2">
        <v>-148.32</v>
      </c>
    </row>
    <row r="170" spans="2:7" x14ac:dyDescent="0.35">
      <c r="B170" s="1">
        <v>45874</v>
      </c>
      <c r="C170" s="1"/>
      <c r="D170" t="s">
        <v>84</v>
      </c>
      <c r="F170" s="2">
        <v>0</v>
      </c>
      <c r="G170" s="2">
        <v>-20.13</v>
      </c>
    </row>
    <row r="171" spans="2:7" x14ac:dyDescent="0.35">
      <c r="B171" s="1">
        <v>45917</v>
      </c>
      <c r="C171" s="1"/>
      <c r="D171" t="s">
        <v>85</v>
      </c>
      <c r="F171" s="2">
        <v>0</v>
      </c>
      <c r="G171" s="2">
        <v>-10225.26</v>
      </c>
    </row>
    <row r="172" spans="2:7" x14ac:dyDescent="0.35">
      <c r="B172" s="1">
        <v>46009</v>
      </c>
      <c r="C172" s="1"/>
      <c r="D172" t="s">
        <v>86</v>
      </c>
      <c r="F172" s="2">
        <v>0</v>
      </c>
      <c r="G172" s="2">
        <v>-5500.87</v>
      </c>
    </row>
    <row r="173" spans="2:7" x14ac:dyDescent="0.35">
      <c r="B173" s="1">
        <v>46009</v>
      </c>
      <c r="C173" s="1"/>
      <c r="D173" t="s">
        <v>87</v>
      </c>
      <c r="F173" s="2">
        <v>0</v>
      </c>
      <c r="G173" s="2">
        <v>-25.23</v>
      </c>
    </row>
    <row r="174" spans="2:7" x14ac:dyDescent="0.35">
      <c r="B174" s="1">
        <v>45993</v>
      </c>
      <c r="C174" s="1"/>
      <c r="D174" t="s">
        <v>88</v>
      </c>
      <c r="F174" s="2">
        <v>0</v>
      </c>
      <c r="G174" s="2">
        <v>-268.42</v>
      </c>
    </row>
    <row r="175" spans="2:7" x14ac:dyDescent="0.35">
      <c r="B175" s="1">
        <v>45916</v>
      </c>
      <c r="C175" s="1"/>
      <c r="D175" t="s">
        <v>89</v>
      </c>
      <c r="F175" s="2">
        <v>0</v>
      </c>
      <c r="G175" s="2">
        <v>-114.05</v>
      </c>
    </row>
    <row r="176" spans="2:7" x14ac:dyDescent="0.35">
      <c r="B176" s="1">
        <v>45989</v>
      </c>
      <c r="C176" s="1"/>
      <c r="D176" t="s">
        <v>89</v>
      </c>
      <c r="F176" s="2">
        <v>0</v>
      </c>
      <c r="G176" s="2">
        <v>-66.12</v>
      </c>
    </row>
    <row r="177" spans="2:7" x14ac:dyDescent="0.35">
      <c r="B177" s="1">
        <v>45989</v>
      </c>
      <c r="C177" s="1"/>
      <c r="D177" t="s">
        <v>89</v>
      </c>
      <c r="F177" s="2">
        <v>0</v>
      </c>
      <c r="G177" s="2">
        <v>-74.260000000000005</v>
      </c>
    </row>
    <row r="178" spans="2:7" x14ac:dyDescent="0.35">
      <c r="B178" s="1">
        <v>46027</v>
      </c>
      <c r="C178" s="1"/>
      <c r="D178" t="s">
        <v>90</v>
      </c>
      <c r="F178" s="2">
        <v>0</v>
      </c>
      <c r="G178" s="2">
        <v>-38.049999999999997</v>
      </c>
    </row>
    <row r="179" spans="2:7" x14ac:dyDescent="0.35">
      <c r="B179" s="1">
        <v>46022</v>
      </c>
      <c r="C179" s="1"/>
      <c r="D179" t="s">
        <v>7</v>
      </c>
      <c r="F179" s="2">
        <v>0</v>
      </c>
      <c r="G179" s="2">
        <v>-20.39</v>
      </c>
    </row>
    <row r="180" spans="2:7" x14ac:dyDescent="0.35">
      <c r="B180" s="1">
        <v>46022</v>
      </c>
      <c r="C180" s="1"/>
      <c r="D180" t="s">
        <v>7</v>
      </c>
      <c r="F180" s="2">
        <v>0</v>
      </c>
      <c r="G180" s="2">
        <v>-613.04999999999995</v>
      </c>
    </row>
    <row r="181" spans="2:7" x14ac:dyDescent="0.35">
      <c r="B181" s="1">
        <v>46007</v>
      </c>
      <c r="C181" s="1"/>
      <c r="D181" t="s">
        <v>91</v>
      </c>
      <c r="F181" s="2">
        <v>0</v>
      </c>
      <c r="G181" s="2">
        <v>-130.28</v>
      </c>
    </row>
    <row r="182" spans="2:7" x14ac:dyDescent="0.35">
      <c r="B182" s="1">
        <v>46008</v>
      </c>
      <c r="C182" s="1"/>
      <c r="D182" t="s">
        <v>91</v>
      </c>
      <c r="F182" s="2">
        <v>0</v>
      </c>
      <c r="G182" s="2">
        <v>-270.77</v>
      </c>
    </row>
    <row r="183" spans="2:7" x14ac:dyDescent="0.35">
      <c r="B183" s="1">
        <v>45879</v>
      </c>
      <c r="C183" s="1"/>
      <c r="D183" t="s">
        <v>92</v>
      </c>
      <c r="F183" s="2">
        <v>0</v>
      </c>
      <c r="G183" s="2">
        <v>-304.38</v>
      </c>
    </row>
    <row r="184" spans="2:7" x14ac:dyDescent="0.35">
      <c r="B184" s="1">
        <v>46023</v>
      </c>
      <c r="C184" s="1"/>
      <c r="D184" t="s">
        <v>93</v>
      </c>
      <c r="F184" s="2">
        <v>0</v>
      </c>
      <c r="G184" s="2">
        <v>-2485.5500000000002</v>
      </c>
    </row>
    <row r="185" spans="2:7" x14ac:dyDescent="0.35">
      <c r="B185" s="1">
        <v>45851</v>
      </c>
      <c r="C185" s="1"/>
      <c r="D185" t="s">
        <v>94</v>
      </c>
      <c r="F185" s="2">
        <v>0</v>
      </c>
      <c r="G185" s="2">
        <v>-160.76</v>
      </c>
    </row>
    <row r="186" spans="2:7" x14ac:dyDescent="0.35">
      <c r="B186" s="1">
        <v>45907</v>
      </c>
      <c r="C186" s="1"/>
      <c r="D186" t="s">
        <v>94</v>
      </c>
      <c r="F186" s="2">
        <v>0</v>
      </c>
      <c r="G186" s="2">
        <v>-669.85</v>
      </c>
    </row>
    <row r="187" spans="2:7" x14ac:dyDescent="0.35">
      <c r="B187" s="1">
        <v>45977</v>
      </c>
      <c r="C187" s="1"/>
      <c r="D187" t="s">
        <v>94</v>
      </c>
      <c r="F187" s="2">
        <v>0</v>
      </c>
      <c r="G187" s="2">
        <v>-120.24</v>
      </c>
    </row>
    <row r="188" spans="2:7" x14ac:dyDescent="0.35">
      <c r="B188" s="1">
        <v>46025</v>
      </c>
      <c r="C188" s="1"/>
      <c r="D188" t="s">
        <v>94</v>
      </c>
      <c r="F188" s="2">
        <v>0</v>
      </c>
      <c r="G188" s="2">
        <v>-104.83</v>
      </c>
    </row>
    <row r="189" spans="2:7" x14ac:dyDescent="0.35">
      <c r="B189" s="1">
        <v>46021</v>
      </c>
      <c r="C189" s="1"/>
      <c r="D189" t="s">
        <v>95</v>
      </c>
      <c r="F189" s="2">
        <v>0</v>
      </c>
      <c r="G189" s="2">
        <v>-850</v>
      </c>
    </row>
    <row r="190" spans="2:7" x14ac:dyDescent="0.35">
      <c r="B190" s="1">
        <v>45899</v>
      </c>
      <c r="C190" s="1"/>
      <c r="D190" t="s">
        <v>96</v>
      </c>
      <c r="F190" s="2">
        <v>0</v>
      </c>
      <c r="G190" s="2">
        <v>-76</v>
      </c>
    </row>
    <row r="191" spans="2:7" x14ac:dyDescent="0.35">
      <c r="B191" s="1">
        <v>45881</v>
      </c>
      <c r="C191" s="1"/>
      <c r="D191" t="s">
        <v>97</v>
      </c>
      <c r="F191" s="2">
        <v>0</v>
      </c>
      <c r="G191" s="2">
        <v>-24</v>
      </c>
    </row>
    <row r="192" spans="2:7" x14ac:dyDescent="0.35">
      <c r="B192" s="1">
        <v>45930</v>
      </c>
      <c r="C192" s="1"/>
      <c r="D192" t="s">
        <v>98</v>
      </c>
      <c r="F192" s="2">
        <v>0</v>
      </c>
      <c r="G192" s="2">
        <v>-60.76</v>
      </c>
    </row>
    <row r="193" spans="2:7" x14ac:dyDescent="0.35">
      <c r="B193" s="1">
        <v>45982</v>
      </c>
      <c r="C193" s="1"/>
      <c r="D193" t="s">
        <v>98</v>
      </c>
      <c r="F193" s="2">
        <v>0</v>
      </c>
      <c r="G193" s="2">
        <v>-50.54</v>
      </c>
    </row>
    <row r="194" spans="2:7" x14ac:dyDescent="0.35">
      <c r="B194" s="1">
        <v>45910</v>
      </c>
      <c r="C194" s="1"/>
      <c r="D194" t="s">
        <v>99</v>
      </c>
      <c r="F194" s="2">
        <v>0</v>
      </c>
      <c r="G194" s="2">
        <v>-364.04</v>
      </c>
    </row>
    <row r="195" spans="2:7" x14ac:dyDescent="0.35">
      <c r="B195" s="1">
        <v>46006</v>
      </c>
      <c r="C195" s="1"/>
      <c r="D195" t="s">
        <v>100</v>
      </c>
      <c r="F195" s="2">
        <v>0</v>
      </c>
      <c r="G195" s="2">
        <v>-175</v>
      </c>
    </row>
    <row r="196" spans="2:7" x14ac:dyDescent="0.35">
      <c r="B196" s="1">
        <v>45901</v>
      </c>
      <c r="C196" s="1"/>
      <c r="D196" t="s">
        <v>101</v>
      </c>
      <c r="F196" s="2">
        <v>0</v>
      </c>
      <c r="G196" s="2">
        <v>-100.85</v>
      </c>
    </row>
    <row r="197" spans="2:7" x14ac:dyDescent="0.35">
      <c r="B197" s="1">
        <v>46000</v>
      </c>
      <c r="C197" s="1"/>
      <c r="D197" t="s">
        <v>102</v>
      </c>
      <c r="F197" s="2">
        <v>0</v>
      </c>
      <c r="G197" s="2">
        <v>-175</v>
      </c>
    </row>
    <row r="198" spans="2:7" x14ac:dyDescent="0.35">
      <c r="B198" s="1">
        <v>45903</v>
      </c>
      <c r="C198" s="1"/>
      <c r="D198" t="s">
        <v>103</v>
      </c>
      <c r="F198" s="2">
        <v>0</v>
      </c>
      <c r="G198" s="2">
        <v>-40.31</v>
      </c>
    </row>
    <row r="199" spans="2:7" x14ac:dyDescent="0.35">
      <c r="B199" s="1">
        <v>45966</v>
      </c>
      <c r="C199" s="1"/>
      <c r="D199" t="s">
        <v>103</v>
      </c>
      <c r="F199" s="2">
        <v>0</v>
      </c>
      <c r="G199" s="2">
        <v>-39.97</v>
      </c>
    </row>
    <row r="200" spans="2:7" x14ac:dyDescent="0.35">
      <c r="B200" s="1">
        <v>45876</v>
      </c>
      <c r="C200" s="1"/>
      <c r="D200" t="s">
        <v>104</v>
      </c>
      <c r="F200" s="2">
        <v>0</v>
      </c>
      <c r="G200" s="2">
        <v>-11.7</v>
      </c>
    </row>
    <row r="201" spans="2:7" x14ac:dyDescent="0.35">
      <c r="B201" s="1">
        <v>45876</v>
      </c>
      <c r="C201" s="1"/>
      <c r="D201" t="s">
        <v>104</v>
      </c>
      <c r="F201" s="2">
        <v>0</v>
      </c>
      <c r="G201" s="2">
        <v>-16.29</v>
      </c>
    </row>
    <row r="202" spans="2:7" x14ac:dyDescent="0.35">
      <c r="B202" s="1">
        <v>45869</v>
      </c>
      <c r="C202" s="1"/>
      <c r="D202" t="s">
        <v>105</v>
      </c>
      <c r="F202" s="2">
        <v>0</v>
      </c>
      <c r="G202" s="2">
        <v>-128.33000000000001</v>
      </c>
    </row>
    <row r="203" spans="2:7" x14ac:dyDescent="0.35">
      <c r="B203" s="1">
        <v>45877</v>
      </c>
      <c r="C203" s="1"/>
      <c r="D203" t="s">
        <v>105</v>
      </c>
      <c r="F203" s="2">
        <v>0</v>
      </c>
      <c r="G203" s="2">
        <v>-143.24</v>
      </c>
    </row>
    <row r="204" spans="2:7" x14ac:dyDescent="0.35">
      <c r="B204" s="1">
        <v>45883</v>
      </c>
      <c r="C204" s="1"/>
      <c r="D204" t="s">
        <v>105</v>
      </c>
      <c r="F204" s="2">
        <v>0</v>
      </c>
      <c r="G204" s="2">
        <v>-134.1</v>
      </c>
    </row>
    <row r="205" spans="2:7" x14ac:dyDescent="0.35">
      <c r="B205" s="1">
        <v>45899</v>
      </c>
      <c r="C205" s="1"/>
      <c r="D205" t="s">
        <v>105</v>
      </c>
      <c r="F205" s="2">
        <v>0</v>
      </c>
      <c r="G205" s="2">
        <v>-95.95</v>
      </c>
    </row>
    <row r="206" spans="2:7" x14ac:dyDescent="0.35">
      <c r="B206" s="1">
        <v>45910</v>
      </c>
      <c r="C206" s="1"/>
      <c r="D206" t="s">
        <v>105</v>
      </c>
      <c r="F206" s="2">
        <v>0</v>
      </c>
      <c r="G206" s="2">
        <v>-142.41</v>
      </c>
    </row>
    <row r="207" spans="2:7" x14ac:dyDescent="0.35">
      <c r="B207" s="1">
        <v>45916</v>
      </c>
      <c r="C207" s="1"/>
      <c r="D207" t="s">
        <v>105</v>
      </c>
      <c r="F207" s="2">
        <v>0</v>
      </c>
      <c r="G207" s="2">
        <v>-150.77000000000001</v>
      </c>
    </row>
    <row r="208" spans="2:7" x14ac:dyDescent="0.35">
      <c r="B208" s="1">
        <v>45922</v>
      </c>
      <c r="C208" s="1"/>
      <c r="D208" t="s">
        <v>105</v>
      </c>
      <c r="F208" s="2">
        <v>0</v>
      </c>
      <c r="G208" s="2">
        <v>-147.06</v>
      </c>
    </row>
    <row r="209" spans="2:7" x14ac:dyDescent="0.35">
      <c r="B209" s="1">
        <v>45930</v>
      </c>
      <c r="C209" s="1"/>
      <c r="D209" t="s">
        <v>105</v>
      </c>
      <c r="F209" s="2">
        <v>0</v>
      </c>
      <c r="G209" s="2">
        <v>-125.12</v>
      </c>
    </row>
    <row r="210" spans="2:7" x14ac:dyDescent="0.35">
      <c r="B210" s="1">
        <v>45945</v>
      </c>
      <c r="C210" s="1"/>
      <c r="D210" t="s">
        <v>105</v>
      </c>
      <c r="F210" s="2">
        <v>0</v>
      </c>
      <c r="G210" s="2">
        <v>-122.11</v>
      </c>
    </row>
    <row r="211" spans="2:7" x14ac:dyDescent="0.35">
      <c r="B211" s="1">
        <v>45973</v>
      </c>
      <c r="C211" s="1"/>
      <c r="D211" t="s">
        <v>105</v>
      </c>
      <c r="F211" s="2">
        <v>0</v>
      </c>
      <c r="G211" s="2">
        <v>-149.12</v>
      </c>
    </row>
    <row r="212" spans="2:7" x14ac:dyDescent="0.35">
      <c r="B212" s="1">
        <v>45861</v>
      </c>
      <c r="C212" s="1"/>
      <c r="D212" t="s">
        <v>106</v>
      </c>
      <c r="F212" s="2">
        <v>0</v>
      </c>
      <c r="G212" s="2">
        <v>-152.46</v>
      </c>
    </row>
    <row r="213" spans="2:7" x14ac:dyDescent="0.35">
      <c r="B213" s="1">
        <v>45934</v>
      </c>
      <c r="C213" s="1"/>
      <c r="D213" t="s">
        <v>107</v>
      </c>
      <c r="F213" s="2">
        <v>0</v>
      </c>
      <c r="G213" s="2">
        <v>-111.37</v>
      </c>
    </row>
    <row r="214" spans="2:7" x14ac:dyDescent="0.35">
      <c r="B214" s="1">
        <v>46003</v>
      </c>
      <c r="C214" s="1"/>
      <c r="D214" t="s">
        <v>108</v>
      </c>
      <c r="F214" s="2">
        <v>0</v>
      </c>
      <c r="G214" s="2">
        <v>-42.23</v>
      </c>
    </row>
    <row r="215" spans="2:7" x14ac:dyDescent="0.35">
      <c r="B215" s="1">
        <v>45918</v>
      </c>
      <c r="C215" s="1"/>
      <c r="D215" t="s">
        <v>109</v>
      </c>
      <c r="F215" s="2">
        <v>0</v>
      </c>
      <c r="G215" s="2">
        <v>-26.09</v>
      </c>
    </row>
    <row r="216" spans="2:7" x14ac:dyDescent="0.35">
      <c r="B216" s="1">
        <v>45936</v>
      </c>
      <c r="C216" s="1"/>
      <c r="D216" t="s">
        <v>109</v>
      </c>
      <c r="F216" s="2">
        <v>0</v>
      </c>
      <c r="G216" s="2">
        <v>-150</v>
      </c>
    </row>
    <row r="217" spans="2:7" x14ac:dyDescent="0.35">
      <c r="B217" s="1">
        <v>46006</v>
      </c>
      <c r="C217" s="1"/>
      <c r="D217" t="s">
        <v>110</v>
      </c>
      <c r="F217" s="2">
        <v>0</v>
      </c>
      <c r="G217" s="2">
        <v>-118.99</v>
      </c>
    </row>
    <row r="218" spans="2:7" x14ac:dyDescent="0.35">
      <c r="B218" s="1">
        <v>46001</v>
      </c>
      <c r="C218" s="1"/>
      <c r="D218" t="s">
        <v>111</v>
      </c>
      <c r="F218" s="2">
        <v>0</v>
      </c>
      <c r="G218" s="2">
        <v>-50</v>
      </c>
    </row>
    <row r="219" spans="2:7" x14ac:dyDescent="0.35">
      <c r="B219" s="1">
        <v>45992</v>
      </c>
      <c r="C219" s="1"/>
      <c r="D219" t="s">
        <v>112</v>
      </c>
      <c r="F219" s="2">
        <v>0</v>
      </c>
      <c r="G219" s="2">
        <v>-175</v>
      </c>
    </row>
    <row r="220" spans="2:7" x14ac:dyDescent="0.35">
      <c r="B220" s="1">
        <v>45852</v>
      </c>
      <c r="C220" s="1"/>
      <c r="D220" t="s">
        <v>113</v>
      </c>
      <c r="F220" s="2">
        <v>0</v>
      </c>
      <c r="G220" s="2">
        <v>-65.680000000000007</v>
      </c>
    </row>
    <row r="221" spans="2:7" x14ac:dyDescent="0.35">
      <c r="B221" s="1">
        <v>45904</v>
      </c>
      <c r="C221" s="1"/>
      <c r="D221" t="s">
        <v>113</v>
      </c>
      <c r="F221" s="2">
        <v>0</v>
      </c>
      <c r="G221" s="2">
        <v>-122.96</v>
      </c>
    </row>
    <row r="222" spans="2:7" x14ac:dyDescent="0.35">
      <c r="B222" s="1">
        <v>45937</v>
      </c>
      <c r="C222" s="1"/>
      <c r="D222" t="s">
        <v>113</v>
      </c>
      <c r="F222" s="2">
        <v>0</v>
      </c>
      <c r="G222" s="2">
        <v>-157.22</v>
      </c>
    </row>
    <row r="223" spans="2:7" x14ac:dyDescent="0.35">
      <c r="B223" s="1">
        <v>45951</v>
      </c>
      <c r="C223" s="1"/>
      <c r="D223" t="s">
        <v>113</v>
      </c>
      <c r="F223" s="2">
        <v>0</v>
      </c>
      <c r="G223" s="2">
        <v>-100.68</v>
      </c>
    </row>
    <row r="224" spans="2:7" x14ac:dyDescent="0.35">
      <c r="B224" s="1">
        <v>45959</v>
      </c>
      <c r="C224" s="1"/>
      <c r="D224" t="s">
        <v>113</v>
      </c>
      <c r="F224" s="2">
        <v>0</v>
      </c>
      <c r="G224" s="2">
        <v>-137.33000000000001</v>
      </c>
    </row>
    <row r="225" spans="2:7" x14ac:dyDescent="0.35">
      <c r="B225" s="1">
        <v>46000</v>
      </c>
      <c r="C225" s="1"/>
      <c r="D225" t="s">
        <v>113</v>
      </c>
      <c r="F225" s="2">
        <v>0</v>
      </c>
      <c r="G225" s="2">
        <v>-143.51</v>
      </c>
    </row>
    <row r="226" spans="2:7" x14ac:dyDescent="0.35">
      <c r="B226" s="1">
        <v>46021</v>
      </c>
      <c r="C226" s="1"/>
      <c r="D226" t="s">
        <v>113</v>
      </c>
      <c r="F226" s="2">
        <v>0</v>
      </c>
      <c r="G226" s="2">
        <v>-40.020000000000003</v>
      </c>
    </row>
    <row r="227" spans="2:7" x14ac:dyDescent="0.35">
      <c r="B227" s="1">
        <v>45954</v>
      </c>
      <c r="C227" s="1"/>
      <c r="D227" t="s">
        <v>114</v>
      </c>
      <c r="F227" s="2">
        <v>0</v>
      </c>
      <c r="G227" s="2">
        <v>-145.04</v>
      </c>
    </row>
    <row r="228" spans="2:7" x14ac:dyDescent="0.35">
      <c r="B228" s="1">
        <v>45986</v>
      </c>
      <c r="C228" s="1"/>
      <c r="D228" t="s">
        <v>115</v>
      </c>
      <c r="F228" s="2">
        <v>0</v>
      </c>
      <c r="G228" s="2">
        <v>-114.96</v>
      </c>
    </row>
    <row r="229" spans="2:7" x14ac:dyDescent="0.35">
      <c r="B229" s="1">
        <v>46013</v>
      </c>
      <c r="C229" s="1"/>
      <c r="D229" t="s">
        <v>116</v>
      </c>
      <c r="F229" s="2">
        <v>0</v>
      </c>
      <c r="G229" s="2">
        <v>-135.03</v>
      </c>
    </row>
    <row r="230" spans="2:7" x14ac:dyDescent="0.35">
      <c r="B230" s="1">
        <v>46037</v>
      </c>
      <c r="C230" s="1"/>
      <c r="D230" t="s">
        <v>117</v>
      </c>
      <c r="F230" s="2">
        <v>0</v>
      </c>
      <c r="G230" s="2">
        <v>-40.08</v>
      </c>
    </row>
    <row r="231" spans="2:7" x14ac:dyDescent="0.35">
      <c r="B231" s="1">
        <v>45847</v>
      </c>
      <c r="C231" s="1"/>
      <c r="D231" t="s">
        <v>118</v>
      </c>
      <c r="F231" s="2">
        <v>0</v>
      </c>
      <c r="G231" s="2">
        <v>-91.77</v>
      </c>
    </row>
    <row r="232" spans="2:7" x14ac:dyDescent="0.35">
      <c r="B232" s="1">
        <v>45854</v>
      </c>
      <c r="C232" s="1"/>
      <c r="D232" t="s">
        <v>119</v>
      </c>
      <c r="F232" s="2">
        <v>0</v>
      </c>
      <c r="G232" s="2">
        <v>-149.61000000000001</v>
      </c>
    </row>
    <row r="233" spans="2:7" x14ac:dyDescent="0.35">
      <c r="B233" s="1">
        <v>45897</v>
      </c>
      <c r="C233" s="1"/>
      <c r="D233" t="s">
        <v>119</v>
      </c>
      <c r="F233" s="2">
        <v>0</v>
      </c>
      <c r="G233" s="2">
        <v>-155.74</v>
      </c>
    </row>
    <row r="234" spans="2:7" x14ac:dyDescent="0.35">
      <c r="B234" s="1">
        <v>45964</v>
      </c>
      <c r="C234" s="1"/>
      <c r="D234" t="s">
        <v>119</v>
      </c>
      <c r="F234" s="2">
        <v>0</v>
      </c>
      <c r="G234" s="2">
        <v>-148.66</v>
      </c>
    </row>
    <row r="235" spans="2:7" x14ac:dyDescent="0.35">
      <c r="B235" s="1">
        <v>45971</v>
      </c>
      <c r="C235" s="1"/>
      <c r="D235" t="s">
        <v>119</v>
      </c>
      <c r="F235" s="2">
        <v>0</v>
      </c>
      <c r="G235" s="2">
        <v>-138.62</v>
      </c>
    </row>
    <row r="236" spans="2:7" x14ac:dyDescent="0.35">
      <c r="B236" s="1">
        <v>45994</v>
      </c>
      <c r="C236" s="1"/>
      <c r="D236" t="s">
        <v>119</v>
      </c>
      <c r="F236" s="2">
        <v>0</v>
      </c>
      <c r="G236" s="2">
        <v>-85.28</v>
      </c>
    </row>
    <row r="237" spans="2:7" x14ac:dyDescent="0.35">
      <c r="B237" s="1">
        <v>46007</v>
      </c>
      <c r="C237" s="1"/>
      <c r="D237" t="s">
        <v>119</v>
      </c>
      <c r="F237" s="2">
        <v>0</v>
      </c>
      <c r="G237" s="2">
        <v>-132.46</v>
      </c>
    </row>
    <row r="238" spans="2:7" x14ac:dyDescent="0.35">
      <c r="B238" s="1">
        <v>45980</v>
      </c>
      <c r="C238" s="1"/>
      <c r="D238" t="s">
        <v>120</v>
      </c>
      <c r="F238" s="2">
        <v>0</v>
      </c>
      <c r="G238" s="2">
        <v>-138.78</v>
      </c>
    </row>
    <row r="239" spans="2:7" x14ac:dyDescent="0.35">
      <c r="B239" s="1">
        <v>45855</v>
      </c>
      <c r="C239" s="1"/>
      <c r="D239" t="s">
        <v>121</v>
      </c>
      <c r="F239" s="2">
        <v>0</v>
      </c>
      <c r="G239" s="2">
        <v>-6.28</v>
      </c>
    </row>
    <row r="240" spans="2:7" x14ac:dyDescent="0.35">
      <c r="B240" s="1">
        <v>45855</v>
      </c>
      <c r="C240" s="1"/>
      <c r="D240" t="s">
        <v>121</v>
      </c>
      <c r="F240" s="2">
        <v>0</v>
      </c>
      <c r="G240" s="2">
        <v>-97.27</v>
      </c>
    </row>
    <row r="241" spans="2:7" x14ac:dyDescent="0.35">
      <c r="B241" s="1">
        <v>46002</v>
      </c>
      <c r="C241" s="1"/>
      <c r="D241" t="s">
        <v>122</v>
      </c>
      <c r="F241" s="2">
        <v>0</v>
      </c>
      <c r="G241" s="2">
        <v>-154.5</v>
      </c>
    </row>
    <row r="242" spans="2:7" x14ac:dyDescent="0.35">
      <c r="B242" s="1">
        <v>46002</v>
      </c>
      <c r="C242" s="1"/>
      <c r="D242" t="s">
        <v>122</v>
      </c>
      <c r="F242" s="2">
        <v>0</v>
      </c>
      <c r="G242" s="2">
        <v>-175</v>
      </c>
    </row>
    <row r="243" spans="2:7" x14ac:dyDescent="0.35">
      <c r="B243" s="1">
        <v>45996</v>
      </c>
      <c r="C243" s="1"/>
      <c r="D243" t="s">
        <v>123</v>
      </c>
      <c r="F243" s="2">
        <v>0</v>
      </c>
      <c r="G243" s="2">
        <v>-39.67</v>
      </c>
    </row>
    <row r="244" spans="2:7" x14ac:dyDescent="0.35">
      <c r="B244" s="1">
        <v>45996</v>
      </c>
      <c r="C244" s="1"/>
      <c r="D244" t="s">
        <v>123</v>
      </c>
      <c r="F244" s="2">
        <v>0</v>
      </c>
      <c r="G244" s="2">
        <v>-56.96</v>
      </c>
    </row>
    <row r="245" spans="2:7" x14ac:dyDescent="0.35">
      <c r="B245" s="1">
        <v>45996</v>
      </c>
      <c r="C245" s="1"/>
      <c r="D245" t="s">
        <v>123</v>
      </c>
      <c r="F245" s="2">
        <v>0</v>
      </c>
      <c r="G245" s="2">
        <v>-100.65</v>
      </c>
    </row>
    <row r="246" spans="2:7" x14ac:dyDescent="0.35">
      <c r="B246" s="1">
        <v>45895</v>
      </c>
      <c r="C246" s="1"/>
      <c r="D246" t="s">
        <v>124</v>
      </c>
      <c r="F246" s="2">
        <v>0</v>
      </c>
      <c r="G246" s="2">
        <v>-139.54</v>
      </c>
    </row>
    <row r="247" spans="2:7" x14ac:dyDescent="0.35">
      <c r="B247" s="1">
        <v>45854</v>
      </c>
      <c r="C247" s="1"/>
      <c r="D247" t="s">
        <v>125</v>
      </c>
      <c r="F247" s="2">
        <v>0</v>
      </c>
      <c r="G247" s="2">
        <v>-166.46</v>
      </c>
    </row>
    <row r="248" spans="2:7" x14ac:dyDescent="0.35">
      <c r="B248" s="1">
        <v>45859</v>
      </c>
      <c r="C248" s="1"/>
      <c r="D248" t="s">
        <v>125</v>
      </c>
      <c r="F248" s="2">
        <v>0</v>
      </c>
      <c r="G248" s="2">
        <v>-15.81</v>
      </c>
    </row>
    <row r="249" spans="2:7" x14ac:dyDescent="0.35">
      <c r="B249" s="1">
        <v>45859</v>
      </c>
      <c r="C249" s="1"/>
      <c r="D249" t="s">
        <v>125</v>
      </c>
      <c r="F249" s="2">
        <v>0</v>
      </c>
      <c r="G249" s="2">
        <v>-164.23</v>
      </c>
    </row>
    <row r="250" spans="2:7" x14ac:dyDescent="0.35">
      <c r="B250" s="1">
        <v>45908</v>
      </c>
      <c r="C250" s="1"/>
      <c r="D250" t="s">
        <v>125</v>
      </c>
      <c r="F250" s="2">
        <v>0</v>
      </c>
      <c r="G250" s="2">
        <v>-27.18</v>
      </c>
    </row>
    <row r="251" spans="2:7" x14ac:dyDescent="0.35">
      <c r="B251" s="1">
        <v>45908</v>
      </c>
      <c r="C251" s="1"/>
      <c r="D251" t="s">
        <v>125</v>
      </c>
      <c r="F251" s="2">
        <v>0</v>
      </c>
      <c r="G251" s="2">
        <v>-175</v>
      </c>
    </row>
    <row r="252" spans="2:7" x14ac:dyDescent="0.35">
      <c r="B252" s="1">
        <v>45960</v>
      </c>
      <c r="C252" s="1"/>
      <c r="D252" t="s">
        <v>125</v>
      </c>
      <c r="F252" s="2">
        <v>0</v>
      </c>
      <c r="G252" s="2">
        <v>-128.30000000000001</v>
      </c>
    </row>
    <row r="253" spans="2:7" x14ac:dyDescent="0.35">
      <c r="B253" s="1">
        <v>45983</v>
      </c>
      <c r="C253" s="1"/>
      <c r="D253" t="s">
        <v>125</v>
      </c>
      <c r="F253" s="2">
        <v>0</v>
      </c>
      <c r="G253" s="2">
        <v>-102.77</v>
      </c>
    </row>
    <row r="254" spans="2:7" x14ac:dyDescent="0.35">
      <c r="B254" s="1">
        <v>45999</v>
      </c>
      <c r="C254" s="1"/>
      <c r="D254" t="s">
        <v>125</v>
      </c>
      <c r="F254" s="2">
        <v>0</v>
      </c>
      <c r="G254" s="2">
        <v>-32.61</v>
      </c>
    </row>
    <row r="255" spans="2:7" x14ac:dyDescent="0.35">
      <c r="B255" s="1">
        <v>46002</v>
      </c>
      <c r="C255" s="1"/>
      <c r="D255" t="s">
        <v>125</v>
      </c>
      <c r="F255" s="2">
        <v>0</v>
      </c>
      <c r="G255" s="2">
        <v>-130.63</v>
      </c>
    </row>
    <row r="256" spans="2:7" x14ac:dyDescent="0.35">
      <c r="B256" s="1">
        <v>46008</v>
      </c>
      <c r="C256" s="1"/>
      <c r="D256" t="s">
        <v>125</v>
      </c>
      <c r="F256" s="2">
        <v>0</v>
      </c>
      <c r="G256" s="2">
        <v>-151.43</v>
      </c>
    </row>
    <row r="257" spans="2:7" x14ac:dyDescent="0.35">
      <c r="B257" s="1">
        <v>46029</v>
      </c>
      <c r="C257" s="1"/>
      <c r="D257" t="s">
        <v>125</v>
      </c>
      <c r="F257" s="2">
        <v>0</v>
      </c>
      <c r="G257" s="2">
        <v>-99.53</v>
      </c>
    </row>
    <row r="258" spans="2:7" x14ac:dyDescent="0.35">
      <c r="B258" s="1">
        <v>46031</v>
      </c>
      <c r="C258" s="1"/>
      <c r="D258" t="s">
        <v>125</v>
      </c>
      <c r="F258" s="2">
        <v>0</v>
      </c>
      <c r="G258" s="2">
        <v>-74.58</v>
      </c>
    </row>
    <row r="259" spans="2:7" x14ac:dyDescent="0.35">
      <c r="B259" s="1">
        <v>45918</v>
      </c>
      <c r="C259" s="1"/>
      <c r="D259" t="s">
        <v>126</v>
      </c>
      <c r="F259" s="2">
        <v>0</v>
      </c>
      <c r="G259" s="2">
        <v>-28.23</v>
      </c>
    </row>
    <row r="260" spans="2:7" x14ac:dyDescent="0.35">
      <c r="B260" s="1">
        <v>45881</v>
      </c>
      <c r="C260" s="1"/>
      <c r="D260" t="s">
        <v>127</v>
      </c>
      <c r="F260" s="2">
        <v>0</v>
      </c>
      <c r="G260" s="2">
        <v>-32.11</v>
      </c>
    </row>
    <row r="261" spans="2:7" x14ac:dyDescent="0.35">
      <c r="B261" s="1">
        <v>45875</v>
      </c>
      <c r="C261" s="1"/>
      <c r="D261" t="s">
        <v>128</v>
      </c>
      <c r="F261" s="2">
        <v>0</v>
      </c>
      <c r="G261" s="2">
        <v>-22.66</v>
      </c>
    </row>
    <row r="262" spans="2:7" x14ac:dyDescent="0.35">
      <c r="B262" s="1">
        <v>45889</v>
      </c>
      <c r="C262" s="1"/>
      <c r="D262" t="s">
        <v>128</v>
      </c>
      <c r="F262" s="2">
        <v>0</v>
      </c>
      <c r="G262" s="2">
        <v>-21.66</v>
      </c>
    </row>
    <row r="263" spans="2:7" x14ac:dyDescent="0.35">
      <c r="B263" s="1">
        <v>45904</v>
      </c>
      <c r="C263" s="1"/>
      <c r="D263" t="s">
        <v>128</v>
      </c>
      <c r="F263" s="2">
        <v>0</v>
      </c>
      <c r="G263" s="2">
        <v>-42.55</v>
      </c>
    </row>
    <row r="264" spans="2:7" x14ac:dyDescent="0.35">
      <c r="B264" s="1">
        <v>45895</v>
      </c>
      <c r="C264" s="1"/>
      <c r="D264" t="s">
        <v>129</v>
      </c>
      <c r="F264" s="2">
        <v>0</v>
      </c>
      <c r="G264" s="2">
        <v>-49.73</v>
      </c>
    </row>
    <row r="265" spans="2:7" x14ac:dyDescent="0.35">
      <c r="B265" s="1">
        <v>45996</v>
      </c>
      <c r="C265" s="1"/>
      <c r="D265" t="s">
        <v>129</v>
      </c>
      <c r="F265" s="2">
        <v>0</v>
      </c>
      <c r="G265" s="2">
        <v>-59.62</v>
      </c>
    </row>
    <row r="266" spans="2:7" x14ac:dyDescent="0.35">
      <c r="B266" s="1">
        <v>46040</v>
      </c>
      <c r="C266" s="1"/>
      <c r="D266" t="s">
        <v>130</v>
      </c>
      <c r="F266" s="2">
        <v>0</v>
      </c>
      <c r="G266" s="2">
        <v>-24.2</v>
      </c>
    </row>
    <row r="267" spans="2:7" x14ac:dyDescent="0.35">
      <c r="B267" s="1">
        <v>45922</v>
      </c>
      <c r="C267" s="1"/>
      <c r="D267" t="s">
        <v>131</v>
      </c>
      <c r="F267" s="2">
        <v>0</v>
      </c>
      <c r="G267" s="2">
        <v>-144.21</v>
      </c>
    </row>
    <row r="268" spans="2:7" x14ac:dyDescent="0.35">
      <c r="B268" s="1">
        <v>45891</v>
      </c>
      <c r="C268" s="1"/>
      <c r="D268" t="s">
        <v>132</v>
      </c>
      <c r="F268" s="2">
        <v>0</v>
      </c>
      <c r="G268" s="2">
        <v>-14.59</v>
      </c>
    </row>
    <row r="269" spans="2:7" x14ac:dyDescent="0.35">
      <c r="B269" s="1">
        <v>45891</v>
      </c>
      <c r="C269" s="1"/>
      <c r="D269" t="s">
        <v>132</v>
      </c>
      <c r="F269" s="2">
        <v>0</v>
      </c>
      <c r="G269" s="2">
        <v>-143.79</v>
      </c>
    </row>
    <row r="270" spans="2:7" x14ac:dyDescent="0.35">
      <c r="B270" s="1">
        <v>45918</v>
      </c>
      <c r="C270" s="1"/>
      <c r="D270" t="s">
        <v>133</v>
      </c>
      <c r="F270" s="2">
        <v>0</v>
      </c>
      <c r="G270" s="2">
        <v>-175</v>
      </c>
    </row>
    <row r="271" spans="2:7" x14ac:dyDescent="0.35">
      <c r="B271" s="1">
        <v>45856</v>
      </c>
      <c r="C271" s="1"/>
      <c r="D271" t="s">
        <v>134</v>
      </c>
      <c r="F271" s="2">
        <v>0</v>
      </c>
      <c r="G271" s="2">
        <v>-82.6</v>
      </c>
    </row>
    <row r="272" spans="2:7" x14ac:dyDescent="0.35">
      <c r="B272" s="1">
        <v>45899</v>
      </c>
      <c r="C272" s="1"/>
      <c r="D272" t="s">
        <v>134</v>
      </c>
      <c r="F272" s="2">
        <v>0</v>
      </c>
      <c r="G272" s="2">
        <v>-11.63</v>
      </c>
    </row>
    <row r="273" spans="2:7" x14ac:dyDescent="0.35">
      <c r="B273" s="1">
        <v>45900</v>
      </c>
      <c r="C273" s="1"/>
      <c r="D273" t="s">
        <v>134</v>
      </c>
      <c r="F273" s="2">
        <v>0</v>
      </c>
      <c r="G273" s="2">
        <v>-54.51</v>
      </c>
    </row>
    <row r="274" spans="2:7" x14ac:dyDescent="0.35">
      <c r="B274" s="1">
        <v>46004</v>
      </c>
      <c r="C274" s="1"/>
      <c r="D274" t="s">
        <v>135</v>
      </c>
      <c r="F274" s="2">
        <v>0</v>
      </c>
      <c r="G274" s="2">
        <v>-59.09</v>
      </c>
    </row>
    <row r="275" spans="2:7" x14ac:dyDescent="0.35">
      <c r="B275" s="1">
        <v>45862</v>
      </c>
      <c r="C275" s="1"/>
      <c r="D275" t="s">
        <v>136</v>
      </c>
      <c r="F275" s="2">
        <v>0</v>
      </c>
      <c r="G275" s="2">
        <v>-113.36</v>
      </c>
    </row>
    <row r="276" spans="2:7" x14ac:dyDescent="0.35">
      <c r="B276" s="1">
        <v>45968</v>
      </c>
      <c r="C276" s="1"/>
      <c r="D276" t="s">
        <v>137</v>
      </c>
      <c r="F276" s="2">
        <v>0</v>
      </c>
      <c r="G276" s="2">
        <v>-66.5</v>
      </c>
    </row>
    <row r="277" spans="2:7" x14ac:dyDescent="0.35">
      <c r="B277" s="1">
        <v>45869</v>
      </c>
      <c r="C277" s="1"/>
      <c r="D277" t="s">
        <v>138</v>
      </c>
      <c r="F277" s="2">
        <v>0</v>
      </c>
      <c r="G277" s="2">
        <v>-323.75</v>
      </c>
    </row>
    <row r="278" spans="2:7" x14ac:dyDescent="0.35">
      <c r="B278" s="1">
        <v>46001</v>
      </c>
      <c r="C278" s="1"/>
      <c r="D278" t="s">
        <v>139</v>
      </c>
      <c r="F278" s="2">
        <v>0</v>
      </c>
      <c r="G278" s="2">
        <v>-130</v>
      </c>
    </row>
    <row r="279" spans="2:7" x14ac:dyDescent="0.35">
      <c r="B279" s="1">
        <v>45856</v>
      </c>
      <c r="C279" s="1"/>
      <c r="D279" t="s">
        <v>140</v>
      </c>
      <c r="F279" s="2">
        <v>0</v>
      </c>
      <c r="G279" s="2">
        <v>-74.77</v>
      </c>
    </row>
    <row r="280" spans="2:7" x14ac:dyDescent="0.35">
      <c r="B280" s="1">
        <v>45992</v>
      </c>
      <c r="C280" s="1"/>
      <c r="D280" t="s">
        <v>141</v>
      </c>
      <c r="F280" s="2">
        <v>0</v>
      </c>
      <c r="G280" s="2">
        <v>-144.62</v>
      </c>
    </row>
    <row r="281" spans="2:7" x14ac:dyDescent="0.35">
      <c r="B281" s="1">
        <v>45994</v>
      </c>
      <c r="C281" s="1"/>
      <c r="D281" t="s">
        <v>142</v>
      </c>
      <c r="F281" s="2">
        <v>0</v>
      </c>
      <c r="G281" s="2">
        <v>-5.27</v>
      </c>
    </row>
    <row r="282" spans="2:7" x14ac:dyDescent="0.35">
      <c r="B282" s="1">
        <v>45966</v>
      </c>
      <c r="C282" s="1"/>
      <c r="D282" t="s">
        <v>143</v>
      </c>
      <c r="F282" s="2">
        <v>0</v>
      </c>
      <c r="G282" s="2">
        <v>-18</v>
      </c>
    </row>
    <row r="283" spans="2:7" x14ac:dyDescent="0.35">
      <c r="B283" s="1">
        <v>45898</v>
      </c>
      <c r="C283" s="1"/>
      <c r="D283" t="s">
        <v>144</v>
      </c>
      <c r="F283" s="2">
        <v>0</v>
      </c>
      <c r="G283" s="2">
        <v>-106.97</v>
      </c>
    </row>
    <row r="284" spans="2:7" x14ac:dyDescent="0.35">
      <c r="B284" s="1">
        <v>45869</v>
      </c>
      <c r="C284" s="1"/>
      <c r="D284" t="s">
        <v>145</v>
      </c>
      <c r="F284" s="2">
        <v>0</v>
      </c>
      <c r="G284" s="2">
        <v>-1592.3</v>
      </c>
    </row>
    <row r="285" spans="2:7" x14ac:dyDescent="0.35">
      <c r="B285" s="1">
        <v>45841</v>
      </c>
      <c r="C285" s="1"/>
      <c r="D285" t="s">
        <v>146</v>
      </c>
      <c r="F285" s="2">
        <v>0</v>
      </c>
      <c r="G285" s="2">
        <v>-82.12</v>
      </c>
    </row>
    <row r="286" spans="2:7" x14ac:dyDescent="0.35">
      <c r="B286" s="1">
        <v>45875</v>
      </c>
      <c r="C286" s="1"/>
      <c r="D286" t="s">
        <v>147</v>
      </c>
      <c r="F286" s="2">
        <v>0</v>
      </c>
      <c r="G286" s="2">
        <v>-694.94</v>
      </c>
    </row>
    <row r="287" spans="2:7" x14ac:dyDescent="0.35">
      <c r="B287" s="1">
        <v>46006</v>
      </c>
      <c r="C287" s="1"/>
      <c r="D287" t="s">
        <v>8</v>
      </c>
      <c r="F287" s="2">
        <v>0</v>
      </c>
      <c r="G287" s="2">
        <v>-3</v>
      </c>
    </row>
    <row r="288" spans="2:7" x14ac:dyDescent="0.35">
      <c r="B288" s="1">
        <v>46010</v>
      </c>
      <c r="C288" s="1"/>
      <c r="D288" t="s">
        <v>148</v>
      </c>
      <c r="F288" s="2">
        <v>0</v>
      </c>
      <c r="G288" s="2">
        <v>-12.43</v>
      </c>
    </row>
    <row r="289" spans="2:7" x14ac:dyDescent="0.35">
      <c r="B289" s="1">
        <v>45997</v>
      </c>
      <c r="C289" s="1"/>
      <c r="D289" t="s">
        <v>9</v>
      </c>
      <c r="F289" s="2">
        <v>0</v>
      </c>
      <c r="G289" s="2">
        <v>-2</v>
      </c>
    </row>
    <row r="290" spans="2:7" x14ac:dyDescent="0.35">
      <c r="B290" s="1">
        <v>45960</v>
      </c>
      <c r="C290" s="1"/>
      <c r="D290" t="s">
        <v>10</v>
      </c>
      <c r="F290" s="2">
        <v>0</v>
      </c>
      <c r="G290" s="2">
        <v>-2</v>
      </c>
    </row>
    <row r="291" spans="2:7" x14ac:dyDescent="0.35">
      <c r="B291" s="1">
        <v>46008</v>
      </c>
      <c r="C291" s="1"/>
      <c r="D291" t="s">
        <v>11</v>
      </c>
      <c r="F291" s="2">
        <v>0</v>
      </c>
      <c r="G291" s="2">
        <v>-3</v>
      </c>
    </row>
    <row r="292" spans="2:7" x14ac:dyDescent="0.35">
      <c r="B292" s="1">
        <v>46007</v>
      </c>
      <c r="C292" s="1"/>
      <c r="D292" t="s">
        <v>12</v>
      </c>
      <c r="F292" s="2">
        <v>0</v>
      </c>
      <c r="G292" s="2">
        <v>-3</v>
      </c>
    </row>
    <row r="293" spans="2:7" x14ac:dyDescent="0.35">
      <c r="B293" s="1">
        <v>46006</v>
      </c>
      <c r="C293" s="1"/>
      <c r="D293" t="s">
        <v>13</v>
      </c>
      <c r="F293" s="2">
        <v>0</v>
      </c>
      <c r="G293" s="2">
        <v>-7.1</v>
      </c>
    </row>
    <row r="294" spans="2:7" x14ac:dyDescent="0.35">
      <c r="B294" s="1">
        <v>46011</v>
      </c>
      <c r="C294" s="1"/>
      <c r="D294" t="s">
        <v>14</v>
      </c>
      <c r="F294" s="2">
        <v>0</v>
      </c>
      <c r="G294" s="2">
        <v>-3</v>
      </c>
    </row>
    <row r="295" spans="2:7" x14ac:dyDescent="0.35">
      <c r="B295" s="1">
        <v>46005</v>
      </c>
      <c r="C295" s="1"/>
      <c r="D295" t="s">
        <v>15</v>
      </c>
      <c r="F295" s="2">
        <v>0</v>
      </c>
      <c r="G295" s="2">
        <v>-4.76</v>
      </c>
    </row>
    <row r="296" spans="2:7" x14ac:dyDescent="0.35">
      <c r="B296" s="1">
        <v>46006</v>
      </c>
      <c r="C296" s="1"/>
      <c r="D296" t="s">
        <v>16</v>
      </c>
      <c r="F296" s="2">
        <v>0</v>
      </c>
      <c r="G296" s="2">
        <v>-3</v>
      </c>
    </row>
    <row r="297" spans="2:7" x14ac:dyDescent="0.35">
      <c r="B297" s="1">
        <v>46010</v>
      </c>
      <c r="C297" s="1"/>
      <c r="D297" t="s">
        <v>17</v>
      </c>
      <c r="F297" s="2">
        <v>0</v>
      </c>
      <c r="G297" s="2">
        <v>-3</v>
      </c>
    </row>
    <row r="298" spans="2:7" x14ac:dyDescent="0.35">
      <c r="B298" s="1">
        <v>45992</v>
      </c>
      <c r="C298" s="1"/>
      <c r="D298" t="s">
        <v>18</v>
      </c>
      <c r="F298" s="2">
        <v>0</v>
      </c>
      <c r="G298" s="2">
        <v>-6.15</v>
      </c>
    </row>
    <row r="299" spans="2:7" x14ac:dyDescent="0.35">
      <c r="B299" s="1">
        <v>45985</v>
      </c>
      <c r="C299" s="1"/>
      <c r="D299" t="s">
        <v>19</v>
      </c>
      <c r="F299" s="2">
        <v>0</v>
      </c>
      <c r="G299" s="2">
        <v>-2</v>
      </c>
    </row>
    <row r="300" spans="2:7" x14ac:dyDescent="0.35">
      <c r="B300" s="1">
        <v>46005</v>
      </c>
      <c r="C300" s="1"/>
      <c r="D300" t="s">
        <v>20</v>
      </c>
      <c r="F300" s="2">
        <v>0</v>
      </c>
      <c r="G300" s="2">
        <v>-3</v>
      </c>
    </row>
    <row r="301" spans="2:7" x14ac:dyDescent="0.35">
      <c r="B301" s="1">
        <v>45990</v>
      </c>
      <c r="C301" s="1"/>
      <c r="D301" t="s">
        <v>21</v>
      </c>
      <c r="F301" s="2">
        <v>0</v>
      </c>
      <c r="G301" s="2">
        <v>-2</v>
      </c>
    </row>
    <row r="302" spans="2:7" x14ac:dyDescent="0.35">
      <c r="B302" s="1">
        <v>45974</v>
      </c>
      <c r="C302" s="1"/>
      <c r="D302" t="s">
        <v>22</v>
      </c>
      <c r="F302" s="2">
        <v>0</v>
      </c>
      <c r="G302" s="2">
        <v>-2</v>
      </c>
    </row>
    <row r="303" spans="2:7" x14ac:dyDescent="0.35">
      <c r="B303" s="1">
        <v>46007</v>
      </c>
      <c r="C303" s="1"/>
      <c r="D303" t="s">
        <v>23</v>
      </c>
      <c r="F303" s="2">
        <v>0</v>
      </c>
      <c r="G303" s="2">
        <v>-3</v>
      </c>
    </row>
    <row r="304" spans="2:7" x14ac:dyDescent="0.35">
      <c r="B304" s="1">
        <v>46007</v>
      </c>
      <c r="C304" s="1"/>
      <c r="D304" t="s">
        <v>24</v>
      </c>
      <c r="F304" s="2">
        <v>0</v>
      </c>
      <c r="G304" s="2">
        <v>-3</v>
      </c>
    </row>
    <row r="305" spans="2:7" x14ac:dyDescent="0.35">
      <c r="B305" s="1">
        <v>45990</v>
      </c>
      <c r="C305" s="1"/>
      <c r="D305" t="s">
        <v>25</v>
      </c>
      <c r="F305" s="2">
        <v>0</v>
      </c>
      <c r="G305" s="2">
        <v>-3.14</v>
      </c>
    </row>
    <row r="306" spans="2:7" x14ac:dyDescent="0.35">
      <c r="B306" s="1">
        <v>46010</v>
      </c>
      <c r="C306" s="1"/>
      <c r="D306" t="s">
        <v>26</v>
      </c>
      <c r="F306" s="2">
        <v>0</v>
      </c>
      <c r="G306" s="2">
        <v>-3</v>
      </c>
    </row>
    <row r="307" spans="2:7" x14ac:dyDescent="0.35">
      <c r="B307" s="1">
        <v>45968</v>
      </c>
      <c r="C307" s="1"/>
      <c r="D307" t="s">
        <v>27</v>
      </c>
      <c r="F307" s="2">
        <v>0</v>
      </c>
      <c r="G307" s="2">
        <v>-2</v>
      </c>
    </row>
    <row r="308" spans="2:7" x14ac:dyDescent="0.35">
      <c r="B308" s="1">
        <v>46008</v>
      </c>
      <c r="C308" s="1"/>
      <c r="D308" t="s">
        <v>28</v>
      </c>
      <c r="F308" s="2">
        <v>0</v>
      </c>
      <c r="G308" s="2">
        <v>-6.58</v>
      </c>
    </row>
    <row r="309" spans="2:7" x14ac:dyDescent="0.35">
      <c r="B309" s="1">
        <v>46003</v>
      </c>
      <c r="C309" s="1"/>
      <c r="D309" t="s">
        <v>29</v>
      </c>
      <c r="F309" s="2">
        <v>0</v>
      </c>
      <c r="G309" s="2">
        <v>-6.29</v>
      </c>
    </row>
    <row r="310" spans="2:7" x14ac:dyDescent="0.35">
      <c r="B310" s="1">
        <v>46006</v>
      </c>
      <c r="C310" s="1"/>
      <c r="D310" t="s">
        <v>30</v>
      </c>
      <c r="F310" s="2">
        <v>0</v>
      </c>
      <c r="G310" s="2">
        <v>-3</v>
      </c>
    </row>
    <row r="311" spans="2:7" x14ac:dyDescent="0.35">
      <c r="B311" s="1">
        <v>45969</v>
      </c>
      <c r="C311" s="1"/>
      <c r="D311" t="s">
        <v>31</v>
      </c>
      <c r="F311" s="2">
        <v>0</v>
      </c>
      <c r="G311" s="2">
        <v>-2</v>
      </c>
    </row>
    <row r="312" spans="2:7" x14ac:dyDescent="0.35">
      <c r="B312" s="1">
        <v>46009</v>
      </c>
      <c r="C312" s="1"/>
      <c r="D312" t="s">
        <v>32</v>
      </c>
      <c r="F312" s="2">
        <v>0</v>
      </c>
      <c r="G312" s="2">
        <v>-6.07</v>
      </c>
    </row>
    <row r="313" spans="2:7" x14ac:dyDescent="0.35">
      <c r="B313" s="1">
        <v>45923</v>
      </c>
      <c r="C313" s="1"/>
      <c r="D313" t="s">
        <v>149</v>
      </c>
      <c r="F313" s="2">
        <v>0</v>
      </c>
      <c r="G313" s="2">
        <v>-2</v>
      </c>
    </row>
    <row r="314" spans="2:7" x14ac:dyDescent="0.35">
      <c r="B314" s="1">
        <v>46010</v>
      </c>
      <c r="C314" s="1"/>
      <c r="D314" t="s">
        <v>33</v>
      </c>
      <c r="F314" s="2">
        <v>0</v>
      </c>
      <c r="G314" s="2">
        <v>-3</v>
      </c>
    </row>
    <row r="315" spans="2:7" x14ac:dyDescent="0.35">
      <c r="B315" s="1">
        <v>46007</v>
      </c>
      <c r="C315" s="1"/>
      <c r="D315" t="s">
        <v>34</v>
      </c>
      <c r="F315" s="2">
        <v>0</v>
      </c>
      <c r="G315" s="2">
        <v>-3</v>
      </c>
    </row>
    <row r="316" spans="2:7" x14ac:dyDescent="0.35">
      <c r="B316" s="1">
        <v>46007</v>
      </c>
      <c r="C316" s="1"/>
      <c r="D316" t="s">
        <v>35</v>
      </c>
      <c r="F316" s="2">
        <v>0</v>
      </c>
      <c r="G316" s="2">
        <v>-3</v>
      </c>
    </row>
    <row r="317" spans="2:7" x14ac:dyDescent="0.35">
      <c r="B317" s="1">
        <v>45985</v>
      </c>
      <c r="C317" s="1"/>
      <c r="D317" t="s">
        <v>36</v>
      </c>
      <c r="F317" s="2">
        <v>0</v>
      </c>
      <c r="G317" s="2">
        <v>-16.309999999999999</v>
      </c>
    </row>
    <row r="318" spans="2:7" x14ac:dyDescent="0.35">
      <c r="B318" s="1">
        <v>46007</v>
      </c>
      <c r="C318" s="1"/>
      <c r="D318" t="s">
        <v>37</v>
      </c>
      <c r="F318" s="2">
        <v>0</v>
      </c>
      <c r="G318" s="2">
        <v>-3</v>
      </c>
    </row>
    <row r="319" spans="2:7" x14ac:dyDescent="0.35">
      <c r="B319" s="1">
        <v>45981</v>
      </c>
      <c r="C319" s="1"/>
      <c r="D319" t="s">
        <v>38</v>
      </c>
      <c r="F319" s="2">
        <v>0</v>
      </c>
      <c r="G319" s="2">
        <v>-2</v>
      </c>
    </row>
    <row r="320" spans="2:7" x14ac:dyDescent="0.35">
      <c r="B320" s="1">
        <v>46006</v>
      </c>
      <c r="C320" s="1"/>
      <c r="D320" t="s">
        <v>39</v>
      </c>
      <c r="F320" s="2">
        <v>0</v>
      </c>
      <c r="G320" s="2">
        <v>-3</v>
      </c>
    </row>
    <row r="321" spans="2:7" x14ac:dyDescent="0.35">
      <c r="B321" s="1">
        <v>46007</v>
      </c>
      <c r="C321" s="1"/>
      <c r="D321" t="s">
        <v>40</v>
      </c>
      <c r="F321" s="2">
        <v>0</v>
      </c>
      <c r="G321" s="2">
        <v>-8.75</v>
      </c>
    </row>
    <row r="322" spans="2:7" x14ac:dyDescent="0.35">
      <c r="B322" s="1">
        <v>46010</v>
      </c>
      <c r="C322" s="1"/>
      <c r="D322" t="s">
        <v>41</v>
      </c>
      <c r="F322" s="2">
        <v>0</v>
      </c>
      <c r="G322" s="2">
        <v>-3</v>
      </c>
    </row>
    <row r="323" spans="2:7" x14ac:dyDescent="0.35">
      <c r="B323" s="1">
        <v>46009</v>
      </c>
      <c r="C323" s="1"/>
      <c r="D323" t="s">
        <v>42</v>
      </c>
      <c r="F323" s="2">
        <v>0</v>
      </c>
      <c r="G323" s="2">
        <v>-3</v>
      </c>
    </row>
    <row r="324" spans="2:7" x14ac:dyDescent="0.35">
      <c r="B324" s="1">
        <v>45871</v>
      </c>
      <c r="C324" s="1"/>
      <c r="D324" t="s">
        <v>150</v>
      </c>
      <c r="F324" s="2">
        <v>0</v>
      </c>
      <c r="G324" s="2">
        <v>-2.63</v>
      </c>
    </row>
    <row r="325" spans="2:7" x14ac:dyDescent="0.35">
      <c r="B325" s="1">
        <v>46004</v>
      </c>
      <c r="C325" s="1"/>
      <c r="D325" t="s">
        <v>43</v>
      </c>
      <c r="F325" s="2">
        <v>0</v>
      </c>
      <c r="G325" s="2">
        <v>-4.4800000000000004</v>
      </c>
    </row>
    <row r="326" spans="2:7" x14ac:dyDescent="0.35">
      <c r="B326" s="1">
        <v>45979</v>
      </c>
      <c r="C326" s="1"/>
      <c r="D326" t="s">
        <v>44</v>
      </c>
      <c r="F326" s="2">
        <v>0</v>
      </c>
      <c r="G326" s="2">
        <v>-2</v>
      </c>
    </row>
    <row r="327" spans="2:7" x14ac:dyDescent="0.35">
      <c r="B327" s="1">
        <v>46009</v>
      </c>
      <c r="C327" s="1"/>
      <c r="D327" t="s">
        <v>45</v>
      </c>
      <c r="F327" s="2">
        <v>0</v>
      </c>
      <c r="G327" s="2">
        <v>-3</v>
      </c>
    </row>
    <row r="328" spans="2:7" x14ac:dyDescent="0.35">
      <c r="B328" s="1">
        <v>46003</v>
      </c>
      <c r="C328" s="1"/>
      <c r="D328" t="s">
        <v>46</v>
      </c>
      <c r="F328" s="2">
        <v>0</v>
      </c>
      <c r="G328" s="2">
        <v>-2</v>
      </c>
    </row>
    <row r="329" spans="2:7" x14ac:dyDescent="0.35">
      <c r="B329" s="1">
        <v>45997</v>
      </c>
      <c r="C329" s="1"/>
      <c r="D329" t="s">
        <v>47</v>
      </c>
      <c r="F329" s="2">
        <v>0</v>
      </c>
      <c r="G329" s="2">
        <v>-4.1500000000000004</v>
      </c>
    </row>
    <row r="330" spans="2:7" x14ac:dyDescent="0.35">
      <c r="B330" s="1">
        <v>45974</v>
      </c>
      <c r="C330" s="1"/>
      <c r="D330" t="s">
        <v>48</v>
      </c>
      <c r="F330" s="2">
        <v>0</v>
      </c>
      <c r="G330" s="2">
        <v>-2</v>
      </c>
    </row>
    <row r="331" spans="2:7" x14ac:dyDescent="0.35">
      <c r="B331" s="1">
        <v>46041</v>
      </c>
      <c r="C331" s="1"/>
      <c r="D331" t="s">
        <v>151</v>
      </c>
      <c r="F331" s="2">
        <v>0</v>
      </c>
      <c r="G331" s="2">
        <v>-24594</v>
      </c>
    </row>
    <row r="332" spans="2:7" x14ac:dyDescent="0.35">
      <c r="B332" s="1">
        <v>46013</v>
      </c>
      <c r="C332" s="1"/>
      <c r="D332" t="s">
        <v>152</v>
      </c>
      <c r="F332" s="2">
        <v>0</v>
      </c>
      <c r="G332" s="2">
        <v>-121.21</v>
      </c>
    </row>
    <row r="333" spans="2:7" x14ac:dyDescent="0.35">
      <c r="B333" s="1">
        <v>45853</v>
      </c>
      <c r="C333" s="1"/>
      <c r="D333" t="s">
        <v>153</v>
      </c>
      <c r="F333" s="2">
        <v>0</v>
      </c>
      <c r="G333" s="2">
        <v>-12.92</v>
      </c>
    </row>
    <row r="334" spans="2:7" x14ac:dyDescent="0.35">
      <c r="B334" s="1">
        <v>45853</v>
      </c>
      <c r="C334" s="1"/>
      <c r="D334" t="s">
        <v>153</v>
      </c>
      <c r="F334" s="2">
        <v>0</v>
      </c>
      <c r="G334" s="2">
        <v>-50.9</v>
      </c>
    </row>
    <row r="335" spans="2:7" x14ac:dyDescent="0.35">
      <c r="B335" s="1">
        <v>45874</v>
      </c>
      <c r="C335" s="1"/>
      <c r="D335" t="s">
        <v>153</v>
      </c>
      <c r="F335" s="2">
        <v>0</v>
      </c>
      <c r="G335" s="2">
        <v>-46.67</v>
      </c>
    </row>
    <row r="336" spans="2:7" x14ac:dyDescent="0.35">
      <c r="B336" s="1">
        <v>45882</v>
      </c>
      <c r="C336" s="1"/>
      <c r="D336" t="s">
        <v>153</v>
      </c>
      <c r="F336" s="2">
        <v>0</v>
      </c>
      <c r="G336" s="2">
        <v>-70.92</v>
      </c>
    </row>
    <row r="337" spans="2:7" x14ac:dyDescent="0.35">
      <c r="B337" s="1">
        <v>45884</v>
      </c>
      <c r="C337" s="1"/>
      <c r="D337" t="s">
        <v>153</v>
      </c>
      <c r="F337" s="2">
        <v>0</v>
      </c>
      <c r="G337" s="2">
        <v>-91.66</v>
      </c>
    </row>
    <row r="338" spans="2:7" x14ac:dyDescent="0.35">
      <c r="B338" s="1">
        <v>45917</v>
      </c>
      <c r="C338" s="1"/>
      <c r="D338" t="s">
        <v>153</v>
      </c>
      <c r="F338" s="2">
        <v>0</v>
      </c>
      <c r="G338" s="2">
        <v>-55.17</v>
      </c>
    </row>
    <row r="339" spans="2:7" x14ac:dyDescent="0.35">
      <c r="B339" s="1">
        <v>45919</v>
      </c>
      <c r="C339" s="1"/>
      <c r="D339" t="s">
        <v>153</v>
      </c>
      <c r="F339" s="2">
        <v>0</v>
      </c>
      <c r="G339" s="2">
        <v>-140.81</v>
      </c>
    </row>
    <row r="340" spans="2:7" x14ac:dyDescent="0.35">
      <c r="B340" s="1">
        <v>45923</v>
      </c>
      <c r="C340" s="1"/>
      <c r="D340" t="s">
        <v>153</v>
      </c>
      <c r="F340" s="2">
        <v>0</v>
      </c>
      <c r="G340" s="2">
        <v>-56.12</v>
      </c>
    </row>
    <row r="341" spans="2:7" x14ac:dyDescent="0.35">
      <c r="B341" s="1">
        <v>45926</v>
      </c>
      <c r="C341" s="1"/>
      <c r="D341" t="s">
        <v>153</v>
      </c>
      <c r="F341" s="2">
        <v>0</v>
      </c>
      <c r="G341" s="2">
        <v>-35.29</v>
      </c>
    </row>
    <row r="342" spans="2:7" x14ac:dyDescent="0.35">
      <c r="B342" s="1">
        <v>45930</v>
      </c>
      <c r="C342" s="1"/>
      <c r="D342" t="s">
        <v>153</v>
      </c>
      <c r="F342" s="2">
        <v>0</v>
      </c>
      <c r="G342" s="2">
        <v>-25.81</v>
      </c>
    </row>
    <row r="343" spans="2:7" x14ac:dyDescent="0.35">
      <c r="B343" s="1">
        <v>46003</v>
      </c>
      <c r="C343" s="1"/>
      <c r="D343" t="s">
        <v>154</v>
      </c>
      <c r="F343" s="2">
        <v>0</v>
      </c>
      <c r="G343" s="2">
        <v>-75.7</v>
      </c>
    </row>
    <row r="344" spans="2:7" x14ac:dyDescent="0.35">
      <c r="B344" s="1">
        <v>45890</v>
      </c>
      <c r="C344" s="1"/>
      <c r="D344" t="s">
        <v>155</v>
      </c>
      <c r="F344" s="2">
        <v>0</v>
      </c>
      <c r="G344" s="2">
        <v>-107.7</v>
      </c>
    </row>
    <row r="345" spans="2:7" x14ac:dyDescent="0.35">
      <c r="B345" s="1">
        <v>45902</v>
      </c>
      <c r="C345" s="1"/>
      <c r="D345" t="s">
        <v>155</v>
      </c>
      <c r="F345" s="2">
        <v>0</v>
      </c>
      <c r="G345" s="2">
        <v>-65.17</v>
      </c>
    </row>
    <row r="346" spans="2:7" x14ac:dyDescent="0.35">
      <c r="B346" s="1">
        <v>45894</v>
      </c>
      <c r="C346" s="1"/>
      <c r="D346" t="s">
        <v>156</v>
      </c>
      <c r="F346" s="2">
        <v>0</v>
      </c>
      <c r="G346" s="2">
        <v>-86.83</v>
      </c>
    </row>
    <row r="347" spans="2:7" x14ac:dyDescent="0.35">
      <c r="B347" s="1">
        <v>46008</v>
      </c>
      <c r="C347" s="1"/>
      <c r="D347" t="s">
        <v>157</v>
      </c>
      <c r="F347" s="2">
        <v>0</v>
      </c>
      <c r="G347" s="2">
        <v>-140.91999999999999</v>
      </c>
    </row>
    <row r="348" spans="2:7" x14ac:dyDescent="0.35">
      <c r="B348" s="1">
        <v>46008</v>
      </c>
      <c r="C348" s="1"/>
      <c r="D348" t="s">
        <v>157</v>
      </c>
      <c r="F348" s="2">
        <v>0</v>
      </c>
      <c r="G348" s="2">
        <v>-281.83999999999997</v>
      </c>
    </row>
    <row r="349" spans="2:7" x14ac:dyDescent="0.35">
      <c r="B349" s="1">
        <v>46008</v>
      </c>
      <c r="C349" s="1"/>
      <c r="D349" t="s">
        <v>157</v>
      </c>
      <c r="F349" s="2">
        <v>0</v>
      </c>
      <c r="G349" s="2">
        <v>-281.83999999999997</v>
      </c>
    </row>
    <row r="350" spans="2:7" x14ac:dyDescent="0.35">
      <c r="B350" s="1">
        <v>45895</v>
      </c>
      <c r="C350" s="1"/>
      <c r="D350" t="s">
        <v>158</v>
      </c>
      <c r="F350" s="2">
        <v>0</v>
      </c>
      <c r="G350" s="2">
        <v>-311.94</v>
      </c>
    </row>
    <row r="351" spans="2:7" x14ac:dyDescent="0.35">
      <c r="B351" s="1">
        <v>45895</v>
      </c>
      <c r="C351" s="1"/>
      <c r="D351" t="s">
        <v>158</v>
      </c>
      <c r="F351" s="2">
        <v>0</v>
      </c>
      <c r="G351" s="2">
        <v>-311.94</v>
      </c>
    </row>
    <row r="352" spans="2:7" x14ac:dyDescent="0.35">
      <c r="B352" s="1">
        <v>45997</v>
      </c>
      <c r="C352" s="1"/>
      <c r="D352" t="s">
        <v>159</v>
      </c>
      <c r="F352" s="2">
        <v>0</v>
      </c>
      <c r="G352" s="2">
        <v>-63.53</v>
      </c>
    </row>
    <row r="353" spans="2:7" x14ac:dyDescent="0.35">
      <c r="B353" s="1">
        <v>46029</v>
      </c>
      <c r="C353" s="1"/>
      <c r="D353" t="s">
        <v>159</v>
      </c>
      <c r="F353" s="2">
        <v>0</v>
      </c>
      <c r="G353" s="2">
        <v>-34.369999999999997</v>
      </c>
    </row>
    <row r="354" spans="2:7" x14ac:dyDescent="0.35">
      <c r="B354" s="1">
        <v>45901</v>
      </c>
      <c r="C354" s="1"/>
      <c r="D354" t="s">
        <v>160</v>
      </c>
      <c r="F354" s="2">
        <v>0</v>
      </c>
      <c r="G354" s="2">
        <v>-179.67</v>
      </c>
    </row>
    <row r="355" spans="2:7" x14ac:dyDescent="0.35">
      <c r="B355" s="1">
        <v>45901</v>
      </c>
      <c r="C355" s="1"/>
      <c r="D355" t="s">
        <v>161</v>
      </c>
      <c r="F355" s="2">
        <v>0</v>
      </c>
      <c r="G355" s="2">
        <v>-180.17</v>
      </c>
    </row>
    <row r="356" spans="2:7" x14ac:dyDescent="0.35">
      <c r="B356" s="1">
        <v>46012</v>
      </c>
      <c r="C356" s="1"/>
      <c r="D356" t="s">
        <v>162</v>
      </c>
      <c r="F356" s="2">
        <v>0</v>
      </c>
      <c r="G356" s="2">
        <v>-570.08000000000004</v>
      </c>
    </row>
    <row r="357" spans="2:7" x14ac:dyDescent="0.35">
      <c r="B357" s="1">
        <v>46003</v>
      </c>
      <c r="C357" s="1"/>
      <c r="D357" t="s">
        <v>163</v>
      </c>
      <c r="F357" s="2">
        <v>0</v>
      </c>
      <c r="G357" s="2">
        <v>-38.06</v>
      </c>
    </row>
    <row r="358" spans="2:7" x14ac:dyDescent="0.35">
      <c r="B358" s="1">
        <v>45980</v>
      </c>
      <c r="C358" s="1"/>
      <c r="D358" t="s">
        <v>164</v>
      </c>
      <c r="F358" s="2">
        <v>0</v>
      </c>
      <c r="G358" s="2">
        <v>-150</v>
      </c>
    </row>
    <row r="359" spans="2:7" x14ac:dyDescent="0.35">
      <c r="B359" s="1">
        <v>45861</v>
      </c>
      <c r="C359" s="1"/>
      <c r="D359" t="s">
        <v>165</v>
      </c>
      <c r="F359" s="2">
        <v>0</v>
      </c>
      <c r="G359" s="2">
        <v>-2549.04</v>
      </c>
    </row>
    <row r="360" spans="2:7" x14ac:dyDescent="0.35">
      <c r="B360" s="1">
        <v>46006</v>
      </c>
      <c r="C360" s="1"/>
      <c r="D360" t="s">
        <v>166</v>
      </c>
      <c r="F360" s="2">
        <v>0</v>
      </c>
      <c r="G360" s="2">
        <v>-1094.3699999999999</v>
      </c>
    </row>
    <row r="361" spans="2:7" x14ac:dyDescent="0.35">
      <c r="B361" s="1">
        <v>46006</v>
      </c>
      <c r="C361" s="1"/>
      <c r="D361" t="s">
        <v>167</v>
      </c>
      <c r="F361" s="2">
        <v>0</v>
      </c>
      <c r="G361" s="2">
        <v>-57.74</v>
      </c>
    </row>
    <row r="362" spans="2:7" x14ac:dyDescent="0.35">
      <c r="B362" s="1">
        <v>45895</v>
      </c>
      <c r="C362" s="1"/>
      <c r="D362" t="s">
        <v>168</v>
      </c>
      <c r="F362" s="2">
        <v>0</v>
      </c>
      <c r="G362" s="2">
        <v>-58.24</v>
      </c>
    </row>
    <row r="363" spans="2:7" x14ac:dyDescent="0.35">
      <c r="B363" s="1">
        <v>46004</v>
      </c>
      <c r="C363" s="1"/>
      <c r="D363" t="s">
        <v>169</v>
      </c>
      <c r="F363" s="2">
        <v>0</v>
      </c>
      <c r="G363" s="2">
        <v>-43.77</v>
      </c>
    </row>
    <row r="364" spans="2:7" x14ac:dyDescent="0.35">
      <c r="B364" s="1">
        <v>45904</v>
      </c>
      <c r="C364" s="1"/>
      <c r="D364" t="s">
        <v>170</v>
      </c>
      <c r="F364" s="2">
        <v>0</v>
      </c>
      <c r="G364" s="2">
        <v>-40.19</v>
      </c>
    </row>
    <row r="365" spans="2:7" x14ac:dyDescent="0.35">
      <c r="B365" s="1">
        <v>45936</v>
      </c>
      <c r="C365" s="1"/>
      <c r="D365" t="s">
        <v>170</v>
      </c>
      <c r="F365" s="2">
        <v>0</v>
      </c>
      <c r="G365" s="2">
        <v>-35.18</v>
      </c>
    </row>
    <row r="366" spans="2:7" x14ac:dyDescent="0.35">
      <c r="B366" s="1">
        <v>45995</v>
      </c>
      <c r="C366" s="1"/>
      <c r="D366" t="s">
        <v>171</v>
      </c>
      <c r="F366" s="2">
        <v>0</v>
      </c>
      <c r="G366" s="2">
        <v>-61.86</v>
      </c>
    </row>
    <row r="367" spans="2:7" x14ac:dyDescent="0.35">
      <c r="B367" s="1">
        <v>45893</v>
      </c>
      <c r="C367" s="1"/>
      <c r="D367" t="s">
        <v>172</v>
      </c>
      <c r="F367" s="2">
        <v>0</v>
      </c>
      <c r="G367" s="2">
        <v>-50.07</v>
      </c>
    </row>
    <row r="368" spans="2:7" x14ac:dyDescent="0.35">
      <c r="B368" s="1">
        <v>45966</v>
      </c>
      <c r="C368" s="1"/>
      <c r="D368" t="s">
        <v>173</v>
      </c>
      <c r="F368" s="2">
        <v>0</v>
      </c>
      <c r="G368" s="2">
        <v>-3664.88</v>
      </c>
    </row>
    <row r="369" spans="2:7" x14ac:dyDescent="0.35">
      <c r="B369" s="1">
        <v>46008</v>
      </c>
      <c r="C369" s="1"/>
      <c r="D369" t="s">
        <v>174</v>
      </c>
      <c r="F369" s="2">
        <v>0</v>
      </c>
      <c r="G369" s="2">
        <v>-43.7</v>
      </c>
    </row>
    <row r="370" spans="2:7" x14ac:dyDescent="0.35">
      <c r="B370" s="1">
        <v>46039</v>
      </c>
      <c r="C370" s="1"/>
      <c r="D370" t="s">
        <v>175</v>
      </c>
      <c r="F370" s="2">
        <v>0</v>
      </c>
      <c r="G370" s="2">
        <v>-42.05</v>
      </c>
    </row>
    <row r="371" spans="2:7" x14ac:dyDescent="0.35">
      <c r="B371" s="1">
        <v>45985</v>
      </c>
      <c r="C371" s="1"/>
      <c r="D371" t="s">
        <v>176</v>
      </c>
      <c r="F371" s="2">
        <v>0</v>
      </c>
      <c r="G371" s="2">
        <v>-185</v>
      </c>
    </row>
    <row r="372" spans="2:7" x14ac:dyDescent="0.35">
      <c r="B372" s="1">
        <v>45985</v>
      </c>
      <c r="C372" s="1"/>
      <c r="D372" t="s">
        <v>176</v>
      </c>
      <c r="F372" s="2">
        <v>0</v>
      </c>
      <c r="G372" s="2">
        <v>-185</v>
      </c>
    </row>
    <row r="373" spans="2:7" x14ac:dyDescent="0.35">
      <c r="B373" s="1">
        <v>45985</v>
      </c>
      <c r="C373" s="1"/>
      <c r="D373" t="s">
        <v>176</v>
      </c>
      <c r="F373" s="2">
        <v>0</v>
      </c>
      <c r="G373" s="2">
        <v>-185</v>
      </c>
    </row>
    <row r="374" spans="2:7" x14ac:dyDescent="0.35">
      <c r="B374" s="1">
        <v>45881</v>
      </c>
      <c r="C374" s="1"/>
      <c r="D374" t="s">
        <v>177</v>
      </c>
      <c r="F374" s="2">
        <v>0</v>
      </c>
      <c r="G374" s="2">
        <v>-100.92</v>
      </c>
    </row>
    <row r="375" spans="2:7" x14ac:dyDescent="0.35">
      <c r="B375" s="1">
        <v>45999</v>
      </c>
      <c r="C375" s="1"/>
      <c r="D375" t="s">
        <v>177</v>
      </c>
      <c r="F375" s="2">
        <v>0</v>
      </c>
      <c r="G375" s="2">
        <v>-160.76</v>
      </c>
    </row>
    <row r="376" spans="2:7" x14ac:dyDescent="0.35">
      <c r="B376" s="1">
        <v>45859</v>
      </c>
      <c r="C376" s="1"/>
      <c r="D376" t="s">
        <v>178</v>
      </c>
      <c r="F376" s="2">
        <v>0</v>
      </c>
      <c r="G376" s="2">
        <v>-40</v>
      </c>
    </row>
    <row r="377" spans="2:7" x14ac:dyDescent="0.35">
      <c r="B377" s="1">
        <v>45951</v>
      </c>
      <c r="C377" s="1"/>
      <c r="D377" t="s">
        <v>179</v>
      </c>
      <c r="F377" s="2">
        <v>0</v>
      </c>
      <c r="G377" s="2">
        <v>-40</v>
      </c>
    </row>
    <row r="378" spans="2:7" x14ac:dyDescent="0.35">
      <c r="B378" s="1">
        <v>45921</v>
      </c>
      <c r="C378" s="1"/>
      <c r="D378" t="s">
        <v>180</v>
      </c>
      <c r="F378" s="2">
        <v>0</v>
      </c>
      <c r="G378" s="2">
        <v>-40</v>
      </c>
    </row>
    <row r="379" spans="2:7" x14ac:dyDescent="0.35">
      <c r="B379" s="1">
        <v>45890</v>
      </c>
      <c r="C379" s="1"/>
      <c r="D379" t="s">
        <v>181</v>
      </c>
      <c r="F379" s="2">
        <v>0</v>
      </c>
      <c r="G379" s="2">
        <v>-40</v>
      </c>
    </row>
    <row r="380" spans="2:7" x14ac:dyDescent="0.35">
      <c r="B380" s="1">
        <v>45900</v>
      </c>
      <c r="C380" s="1"/>
      <c r="D380" t="s">
        <v>182</v>
      </c>
      <c r="F380" s="2">
        <v>0</v>
      </c>
      <c r="G380" s="2">
        <v>-89</v>
      </c>
    </row>
    <row r="381" spans="2:7" x14ac:dyDescent="0.35">
      <c r="B381" s="1">
        <v>45995</v>
      </c>
      <c r="C381" s="1"/>
      <c r="D381" t="s">
        <v>183</v>
      </c>
      <c r="F381" s="2">
        <v>0</v>
      </c>
      <c r="G381" s="2">
        <v>-200.42</v>
      </c>
    </row>
    <row r="382" spans="2:7" x14ac:dyDescent="0.35">
      <c r="B382" s="1">
        <v>45926</v>
      </c>
      <c r="C382" s="1"/>
      <c r="D382" t="s">
        <v>184</v>
      </c>
      <c r="F382" s="2">
        <v>0</v>
      </c>
      <c r="G382" s="2">
        <v>-75</v>
      </c>
    </row>
    <row r="383" spans="2:7" x14ac:dyDescent="0.35">
      <c r="B383" s="1">
        <v>45989</v>
      </c>
      <c r="C383" s="1"/>
      <c r="D383" t="s">
        <v>184</v>
      </c>
      <c r="F383" s="2">
        <v>0</v>
      </c>
      <c r="G383" s="2">
        <v>-50.13</v>
      </c>
    </row>
    <row r="384" spans="2:7" x14ac:dyDescent="0.35">
      <c r="B384" s="1">
        <v>45993</v>
      </c>
      <c r="C384" s="1"/>
      <c r="D384" t="s">
        <v>184</v>
      </c>
      <c r="F384" s="2">
        <v>0</v>
      </c>
      <c r="G384" s="2">
        <v>-75</v>
      </c>
    </row>
    <row r="385" spans="2:7" x14ac:dyDescent="0.35">
      <c r="B385" s="1">
        <v>45994</v>
      </c>
      <c r="C385" s="1"/>
      <c r="D385" t="s">
        <v>184</v>
      </c>
      <c r="F385" s="2">
        <v>0</v>
      </c>
      <c r="G385" s="2">
        <v>-46.21</v>
      </c>
    </row>
    <row r="386" spans="2:7" x14ac:dyDescent="0.35">
      <c r="B386" s="1">
        <v>45994</v>
      </c>
      <c r="C386" s="1"/>
      <c r="D386" t="s">
        <v>184</v>
      </c>
      <c r="F386" s="2">
        <v>0</v>
      </c>
      <c r="G386" s="2">
        <v>-75</v>
      </c>
    </row>
    <row r="387" spans="2:7" x14ac:dyDescent="0.35">
      <c r="B387" s="1">
        <v>45995</v>
      </c>
      <c r="C387" s="1"/>
      <c r="D387" t="s">
        <v>184</v>
      </c>
      <c r="F387" s="2">
        <v>0</v>
      </c>
      <c r="G387" s="2">
        <v>-75</v>
      </c>
    </row>
    <row r="388" spans="2:7" x14ac:dyDescent="0.35">
      <c r="B388" s="1">
        <v>45895</v>
      </c>
      <c r="C388" s="1"/>
      <c r="D388" t="s">
        <v>185</v>
      </c>
      <c r="F388" s="2">
        <v>0</v>
      </c>
      <c r="G388" s="2">
        <v>-75.25</v>
      </c>
    </row>
    <row r="389" spans="2:7" x14ac:dyDescent="0.35">
      <c r="B389" s="1">
        <v>45901</v>
      </c>
      <c r="C389" s="1"/>
      <c r="D389" t="s">
        <v>186</v>
      </c>
      <c r="F389" s="2">
        <v>0</v>
      </c>
      <c r="G389" s="2">
        <v>-114.91</v>
      </c>
    </row>
    <row r="390" spans="2:7" x14ac:dyDescent="0.35">
      <c r="B390" s="1">
        <v>45855</v>
      </c>
      <c r="C390" s="1"/>
      <c r="D390" t="s">
        <v>187</v>
      </c>
      <c r="F390" s="2">
        <v>0</v>
      </c>
      <c r="G390" s="2">
        <v>-10.72</v>
      </c>
    </row>
    <row r="391" spans="2:7" x14ac:dyDescent="0.35">
      <c r="B391" s="1">
        <v>45855</v>
      </c>
      <c r="C391" s="1"/>
      <c r="D391" t="s">
        <v>188</v>
      </c>
      <c r="F391" s="2">
        <v>0</v>
      </c>
      <c r="G391" s="2">
        <v>-44.86</v>
      </c>
    </row>
    <row r="392" spans="2:7" x14ac:dyDescent="0.35">
      <c r="B392" s="1">
        <v>45901</v>
      </c>
      <c r="C392" s="1"/>
      <c r="D392" t="s">
        <v>189</v>
      </c>
      <c r="F392" s="2">
        <v>0</v>
      </c>
      <c r="G392" s="2">
        <v>-18.350000000000001</v>
      </c>
    </row>
    <row r="393" spans="2:7" x14ac:dyDescent="0.35">
      <c r="B393" s="1">
        <v>45901</v>
      </c>
      <c r="C393" s="1"/>
      <c r="D393" t="s">
        <v>190</v>
      </c>
      <c r="F393" s="2">
        <v>0</v>
      </c>
      <c r="G393" s="2">
        <v>-106</v>
      </c>
    </row>
    <row r="394" spans="2:7" x14ac:dyDescent="0.35">
      <c r="B394" s="1">
        <v>45995</v>
      </c>
      <c r="C394" s="1"/>
      <c r="D394" t="s">
        <v>191</v>
      </c>
      <c r="F394" s="2">
        <v>0</v>
      </c>
      <c r="G394" s="2">
        <v>-25.85</v>
      </c>
    </row>
    <row r="395" spans="2:7" x14ac:dyDescent="0.35">
      <c r="B395" s="1">
        <v>45995</v>
      </c>
      <c r="C395" s="1"/>
      <c r="D395" t="s">
        <v>192</v>
      </c>
      <c r="F395" s="2">
        <v>0</v>
      </c>
      <c r="G395" s="2">
        <v>-119.45</v>
      </c>
    </row>
    <row r="396" spans="2:7" x14ac:dyDescent="0.35">
      <c r="B396" s="1">
        <v>45894</v>
      </c>
      <c r="C396" s="1"/>
      <c r="D396" t="s">
        <v>193</v>
      </c>
      <c r="F396" s="2">
        <v>0</v>
      </c>
      <c r="G396" s="2">
        <v>-251.01</v>
      </c>
    </row>
    <row r="397" spans="2:7" x14ac:dyDescent="0.35">
      <c r="B397" s="1">
        <v>45894</v>
      </c>
      <c r="C397" s="1"/>
      <c r="D397" t="s">
        <v>193</v>
      </c>
      <c r="F397" s="2">
        <v>0</v>
      </c>
      <c r="G397" s="2">
        <v>-861.48</v>
      </c>
    </row>
    <row r="398" spans="2:7" x14ac:dyDescent="0.35">
      <c r="B398" s="1">
        <v>45995</v>
      </c>
      <c r="C398" s="1"/>
      <c r="D398" t="s">
        <v>193</v>
      </c>
      <c r="F398" s="2">
        <v>0</v>
      </c>
      <c r="G398" s="2">
        <v>-99.56</v>
      </c>
    </row>
    <row r="399" spans="2:7" x14ac:dyDescent="0.35">
      <c r="B399" s="1">
        <v>45995</v>
      </c>
      <c r="C399" s="1"/>
      <c r="D399" t="s">
        <v>193</v>
      </c>
      <c r="F399" s="2">
        <v>0</v>
      </c>
      <c r="G399" s="2">
        <v>-159.58000000000001</v>
      </c>
    </row>
    <row r="400" spans="2:7" x14ac:dyDescent="0.35">
      <c r="B400" s="1">
        <v>45996</v>
      </c>
      <c r="C400" s="1"/>
      <c r="D400" t="s">
        <v>193</v>
      </c>
      <c r="F400" s="2">
        <v>0</v>
      </c>
      <c r="G400" s="2">
        <v>-6.58</v>
      </c>
    </row>
    <row r="401" spans="2:7" x14ac:dyDescent="0.35">
      <c r="B401" s="1">
        <v>45996</v>
      </c>
      <c r="C401" s="1"/>
      <c r="D401" t="s">
        <v>193</v>
      </c>
      <c r="F401" s="2">
        <v>0</v>
      </c>
      <c r="G401" s="2">
        <v>-172.17</v>
      </c>
    </row>
    <row r="402" spans="2:7" x14ac:dyDescent="0.35">
      <c r="B402" s="1">
        <v>45862</v>
      </c>
      <c r="C402" s="1"/>
      <c r="D402" t="s">
        <v>194</v>
      </c>
      <c r="F402" s="2">
        <v>0</v>
      </c>
      <c r="G402" s="2">
        <v>-33.520000000000003</v>
      </c>
    </row>
    <row r="403" spans="2:7" x14ac:dyDescent="0.35">
      <c r="B403" s="1">
        <v>45867</v>
      </c>
      <c r="C403" s="1"/>
      <c r="D403" t="s">
        <v>195</v>
      </c>
      <c r="F403" s="2">
        <v>0</v>
      </c>
      <c r="G403" s="2">
        <v>-90.18</v>
      </c>
    </row>
    <row r="404" spans="2:7" x14ac:dyDescent="0.35">
      <c r="B404" s="1">
        <v>45883</v>
      </c>
      <c r="C404" s="1"/>
      <c r="D404" t="s">
        <v>195</v>
      </c>
      <c r="F404" s="2">
        <v>0</v>
      </c>
      <c r="G404" s="2">
        <v>-119.47</v>
      </c>
    </row>
    <row r="405" spans="2:7" x14ac:dyDescent="0.35">
      <c r="B405" s="1">
        <v>45908</v>
      </c>
      <c r="C405" s="1"/>
      <c r="D405" t="s">
        <v>195</v>
      </c>
      <c r="F405" s="2">
        <v>0</v>
      </c>
      <c r="G405" s="2">
        <v>-410.16</v>
      </c>
    </row>
    <row r="406" spans="2:7" x14ac:dyDescent="0.35">
      <c r="B406" s="1">
        <v>45978</v>
      </c>
      <c r="C406" s="1"/>
      <c r="D406" t="s">
        <v>195</v>
      </c>
      <c r="F406" s="2">
        <v>0</v>
      </c>
      <c r="G406" s="2">
        <v>-28.75</v>
      </c>
    </row>
    <row r="407" spans="2:7" x14ac:dyDescent="0.35">
      <c r="B407" s="1">
        <v>46023</v>
      </c>
      <c r="C407" s="1"/>
      <c r="D407" t="s">
        <v>195</v>
      </c>
      <c r="F407" s="2">
        <v>0</v>
      </c>
      <c r="G407" s="2">
        <v>-832.37</v>
      </c>
    </row>
    <row r="408" spans="2:7" x14ac:dyDescent="0.35">
      <c r="B408" s="1">
        <v>45918</v>
      </c>
      <c r="C408" s="1"/>
      <c r="D408" t="s">
        <v>196</v>
      </c>
      <c r="F408" s="2">
        <v>0</v>
      </c>
      <c r="G408" s="2">
        <v>-553.98</v>
      </c>
    </row>
    <row r="409" spans="2:7" x14ac:dyDescent="0.35">
      <c r="B409" s="1">
        <v>45901</v>
      </c>
      <c r="C409" s="1"/>
      <c r="D409" t="s">
        <v>197</v>
      </c>
      <c r="F409" s="2">
        <v>0</v>
      </c>
      <c r="G409" s="2">
        <v>-84</v>
      </c>
    </row>
    <row r="410" spans="2:7" x14ac:dyDescent="0.35">
      <c r="B410" s="1">
        <v>45840</v>
      </c>
      <c r="C410" s="1"/>
      <c r="D410" t="s">
        <v>49</v>
      </c>
      <c r="F410" s="2">
        <v>0</v>
      </c>
      <c r="G410" s="2">
        <v>-335.48</v>
      </c>
    </row>
    <row r="411" spans="2:7" x14ac:dyDescent="0.35">
      <c r="B411" s="1">
        <v>45847</v>
      </c>
      <c r="C411" s="1"/>
      <c r="D411" t="s">
        <v>49</v>
      </c>
      <c r="F411" s="2">
        <v>0</v>
      </c>
      <c r="G411" s="2">
        <v>-33.5</v>
      </c>
    </row>
    <row r="412" spans="2:7" x14ac:dyDescent="0.35">
      <c r="B412" s="1">
        <v>45847</v>
      </c>
      <c r="C412" s="1"/>
      <c r="D412" t="s">
        <v>49</v>
      </c>
      <c r="F412" s="2">
        <v>0</v>
      </c>
      <c r="G412" s="2">
        <v>-308.37</v>
      </c>
    </row>
    <row r="413" spans="2:7" x14ac:dyDescent="0.35">
      <c r="B413" s="1">
        <v>45866</v>
      </c>
      <c r="C413" s="1"/>
      <c r="D413" t="s">
        <v>49</v>
      </c>
      <c r="F413" s="2">
        <v>0</v>
      </c>
      <c r="G413" s="2">
        <v>-13.17</v>
      </c>
    </row>
    <row r="414" spans="2:7" x14ac:dyDescent="0.35">
      <c r="B414" s="1">
        <v>45887</v>
      </c>
      <c r="C414" s="1"/>
      <c r="D414" t="s">
        <v>49</v>
      </c>
      <c r="F414" s="2">
        <v>0</v>
      </c>
      <c r="G414" s="2">
        <v>-228.9</v>
      </c>
    </row>
    <row r="415" spans="2:7" x14ac:dyDescent="0.35">
      <c r="B415" s="1">
        <v>45887</v>
      </c>
      <c r="C415" s="1"/>
      <c r="D415" t="s">
        <v>49</v>
      </c>
      <c r="F415" s="2">
        <v>0</v>
      </c>
      <c r="G415" s="2">
        <v>-301.13</v>
      </c>
    </row>
    <row r="416" spans="2:7" x14ac:dyDescent="0.35">
      <c r="B416" s="1">
        <v>46006</v>
      </c>
      <c r="C416" s="1"/>
      <c r="D416" t="s">
        <v>49</v>
      </c>
      <c r="F416" s="2">
        <v>0</v>
      </c>
      <c r="G416" s="2">
        <v>-30</v>
      </c>
    </row>
    <row r="417" spans="2:7" x14ac:dyDescent="0.35">
      <c r="B417" s="1">
        <v>46006</v>
      </c>
      <c r="C417" s="1"/>
      <c r="D417" t="s">
        <v>198</v>
      </c>
      <c r="F417" s="2">
        <v>0</v>
      </c>
      <c r="G417" s="2">
        <v>-130.21</v>
      </c>
    </row>
    <row r="418" spans="2:7" x14ac:dyDescent="0.35">
      <c r="B418" s="1">
        <v>45950</v>
      </c>
      <c r="C418" s="1"/>
      <c r="D418" t="s">
        <v>199</v>
      </c>
      <c r="F418" s="2">
        <v>0</v>
      </c>
      <c r="G418" s="2">
        <v>-1359.82</v>
      </c>
    </row>
    <row r="419" spans="2:7" x14ac:dyDescent="0.35">
      <c r="B419" s="1">
        <v>46002</v>
      </c>
      <c r="C419" s="1"/>
      <c r="D419" t="s">
        <v>200</v>
      </c>
      <c r="F419" s="2">
        <v>0</v>
      </c>
      <c r="G419" s="2">
        <v>-60.82</v>
      </c>
    </row>
    <row r="420" spans="2:7" x14ac:dyDescent="0.35">
      <c r="B420" s="1">
        <v>45989</v>
      </c>
      <c r="C420" s="1"/>
      <c r="D420" t="s">
        <v>201</v>
      </c>
      <c r="F420" s="2">
        <v>0</v>
      </c>
      <c r="G420" s="2">
        <v>-90.5</v>
      </c>
    </row>
    <row r="421" spans="2:7" x14ac:dyDescent="0.35">
      <c r="B421" s="1">
        <v>45887</v>
      </c>
      <c r="C421" s="1"/>
      <c r="D421" t="s">
        <v>202</v>
      </c>
      <c r="F421" s="2">
        <v>0</v>
      </c>
      <c r="G421" s="2">
        <v>-48.3</v>
      </c>
    </row>
    <row r="422" spans="2:7" x14ac:dyDescent="0.35">
      <c r="B422" s="1">
        <v>45888</v>
      </c>
      <c r="C422" s="1"/>
      <c r="D422" t="s">
        <v>202</v>
      </c>
      <c r="F422" s="2">
        <v>0</v>
      </c>
      <c r="G422" s="2">
        <v>-64.819999999999993</v>
      </c>
    </row>
    <row r="423" spans="2:7" x14ac:dyDescent="0.35">
      <c r="B423" s="1">
        <v>45891</v>
      </c>
      <c r="C423" s="1"/>
      <c r="D423" t="s">
        <v>202</v>
      </c>
      <c r="F423" s="2">
        <v>0</v>
      </c>
      <c r="G423" s="2">
        <v>-71.319999999999993</v>
      </c>
    </row>
    <row r="424" spans="2:7" x14ac:dyDescent="0.35">
      <c r="B424" s="1">
        <v>46039</v>
      </c>
      <c r="C424" s="1"/>
      <c r="D424" t="s">
        <v>203</v>
      </c>
      <c r="F424" s="2">
        <v>0</v>
      </c>
      <c r="G424" s="2">
        <v>-73.03</v>
      </c>
    </row>
    <row r="425" spans="2:7" x14ac:dyDescent="0.35">
      <c r="B425" s="1">
        <v>45893</v>
      </c>
      <c r="C425" s="1"/>
      <c r="D425" t="s">
        <v>204</v>
      </c>
      <c r="F425" s="2">
        <v>0</v>
      </c>
      <c r="G425" s="2">
        <v>-210.17</v>
      </c>
    </row>
    <row r="426" spans="2:7" x14ac:dyDescent="0.35">
      <c r="B426" s="1">
        <v>45874</v>
      </c>
      <c r="C426" s="1"/>
      <c r="D426" t="s">
        <v>205</v>
      </c>
      <c r="F426" s="2">
        <v>0</v>
      </c>
      <c r="G426" s="2">
        <v>-224.16</v>
      </c>
    </row>
    <row r="427" spans="2:7" x14ac:dyDescent="0.35">
      <c r="B427" s="1">
        <v>46002</v>
      </c>
      <c r="C427" s="1"/>
      <c r="D427" t="s">
        <v>206</v>
      </c>
      <c r="F427" s="2">
        <v>0</v>
      </c>
      <c r="G427" s="2">
        <v>-300</v>
      </c>
    </row>
    <row r="428" spans="2:7" x14ac:dyDescent="0.35">
      <c r="B428" s="1">
        <v>46002</v>
      </c>
      <c r="C428" s="1"/>
      <c r="D428" t="s">
        <v>206</v>
      </c>
      <c r="F428" s="2">
        <v>0</v>
      </c>
      <c r="G428" s="2">
        <v>-300</v>
      </c>
    </row>
    <row r="429" spans="2:7" x14ac:dyDescent="0.35">
      <c r="B429" s="1">
        <v>45904</v>
      </c>
      <c r="C429" s="1"/>
      <c r="D429" t="s">
        <v>207</v>
      </c>
      <c r="F429" s="2">
        <v>0</v>
      </c>
      <c r="G429" s="2">
        <v>-1150</v>
      </c>
    </row>
    <row r="430" spans="2:7" x14ac:dyDescent="0.35">
      <c r="B430" s="1">
        <v>45930</v>
      </c>
      <c r="C430" s="1"/>
      <c r="D430" t="s">
        <v>208</v>
      </c>
      <c r="F430" s="2">
        <v>0</v>
      </c>
      <c r="G430" s="2">
        <v>-44</v>
      </c>
    </row>
    <row r="431" spans="2:7" x14ac:dyDescent="0.35">
      <c r="B431" s="1">
        <v>45867</v>
      </c>
      <c r="C431" s="1"/>
      <c r="D431" t="s">
        <v>209</v>
      </c>
      <c r="F431" s="2">
        <v>0</v>
      </c>
      <c r="G431" s="2">
        <v>-3655.92</v>
      </c>
    </row>
    <row r="432" spans="2:7" x14ac:dyDescent="0.35">
      <c r="B432" s="1">
        <v>45982</v>
      </c>
      <c r="C432" s="1"/>
      <c r="D432" t="s">
        <v>209</v>
      </c>
      <c r="F432" s="2">
        <v>0</v>
      </c>
      <c r="G432" s="2">
        <v>-3342.56</v>
      </c>
    </row>
    <row r="433" spans="2:7" x14ac:dyDescent="0.35">
      <c r="B433" s="1">
        <v>45982</v>
      </c>
      <c r="C433" s="1"/>
      <c r="D433" t="s">
        <v>209</v>
      </c>
      <c r="F433" s="2">
        <v>0</v>
      </c>
      <c r="G433" s="2">
        <v>-3511.3</v>
      </c>
    </row>
    <row r="434" spans="2:7" x14ac:dyDescent="0.35">
      <c r="B434" s="1">
        <v>45909</v>
      </c>
      <c r="C434" s="1"/>
      <c r="D434" t="s">
        <v>210</v>
      </c>
      <c r="F434" s="2">
        <v>0</v>
      </c>
      <c r="G434" s="2">
        <v>-80.8</v>
      </c>
    </row>
    <row r="435" spans="2:7" x14ac:dyDescent="0.35">
      <c r="B435" s="1">
        <v>45911</v>
      </c>
      <c r="C435" s="1"/>
      <c r="D435" t="s">
        <v>211</v>
      </c>
      <c r="F435" s="2">
        <v>0</v>
      </c>
      <c r="G435" s="2">
        <v>-404.69</v>
      </c>
    </row>
    <row r="436" spans="2:7" x14ac:dyDescent="0.35">
      <c r="B436" s="1">
        <v>46010</v>
      </c>
      <c r="C436" s="1"/>
      <c r="D436" t="s">
        <v>211</v>
      </c>
      <c r="F436" s="2">
        <v>0</v>
      </c>
      <c r="G436" s="2">
        <v>-170.1</v>
      </c>
    </row>
    <row r="437" spans="2:7" x14ac:dyDescent="0.35">
      <c r="B437" s="1">
        <v>45932</v>
      </c>
      <c r="C437" s="1"/>
      <c r="D437" t="s">
        <v>212</v>
      </c>
      <c r="F437" s="2">
        <v>0</v>
      </c>
      <c r="G437" s="2">
        <v>-17.079999999999998</v>
      </c>
    </row>
    <row r="438" spans="2:7" x14ac:dyDescent="0.35">
      <c r="B438" s="1">
        <v>45931</v>
      </c>
      <c r="C438" s="1"/>
      <c r="D438" t="s">
        <v>213</v>
      </c>
      <c r="F438" s="2">
        <v>0</v>
      </c>
      <c r="G438" s="2">
        <v>-51.4</v>
      </c>
    </row>
    <row r="439" spans="2:7" x14ac:dyDescent="0.35">
      <c r="B439" s="1">
        <v>45859</v>
      </c>
      <c r="C439" s="1"/>
      <c r="D439" t="s">
        <v>214</v>
      </c>
      <c r="F439" s="2">
        <v>0</v>
      </c>
      <c r="G439" s="2">
        <v>-39.17</v>
      </c>
    </row>
    <row r="440" spans="2:7" x14ac:dyDescent="0.35">
      <c r="B440" s="1">
        <v>45859</v>
      </c>
      <c r="C440" s="1"/>
      <c r="D440" t="s">
        <v>215</v>
      </c>
      <c r="F440" s="2">
        <v>0</v>
      </c>
      <c r="G440" s="2">
        <v>-26.07</v>
      </c>
    </row>
    <row r="441" spans="2:7" x14ac:dyDescent="0.35">
      <c r="B441" s="1">
        <v>45909</v>
      </c>
      <c r="C441" s="1"/>
      <c r="D441" t="s">
        <v>216</v>
      </c>
      <c r="F441" s="2">
        <v>0</v>
      </c>
      <c r="G441" s="2">
        <v>-158.65</v>
      </c>
    </row>
    <row r="442" spans="2:7" x14ac:dyDescent="0.35">
      <c r="B442" s="1">
        <v>45855</v>
      </c>
      <c r="C442" s="1"/>
      <c r="D442" t="s">
        <v>217</v>
      </c>
      <c r="F442" s="2">
        <v>0</v>
      </c>
      <c r="G442" s="2">
        <v>-79.37</v>
      </c>
    </row>
    <row r="443" spans="2:7" x14ac:dyDescent="0.35">
      <c r="B443" s="1">
        <v>45855</v>
      </c>
      <c r="C443" s="1"/>
      <c r="D443" t="s">
        <v>218</v>
      </c>
      <c r="F443" s="2">
        <v>0</v>
      </c>
      <c r="G443" s="2">
        <v>-57.23</v>
      </c>
    </row>
    <row r="444" spans="2:7" x14ac:dyDescent="0.35">
      <c r="B444" s="1">
        <v>45934</v>
      </c>
      <c r="C444" s="1"/>
      <c r="D444" t="s">
        <v>219</v>
      </c>
      <c r="F444" s="2">
        <v>0</v>
      </c>
      <c r="G444" s="2">
        <v>-9.32</v>
      </c>
    </row>
    <row r="445" spans="2:7" x14ac:dyDescent="0.35">
      <c r="B445" s="1">
        <v>45995</v>
      </c>
      <c r="C445" s="1"/>
      <c r="D445" t="s">
        <v>220</v>
      </c>
      <c r="F445" s="2">
        <v>0</v>
      </c>
      <c r="G445" s="2">
        <v>-214.53</v>
      </c>
    </row>
    <row r="446" spans="2:7" x14ac:dyDescent="0.35">
      <c r="B446" s="1">
        <v>45883</v>
      </c>
      <c r="C446" s="1"/>
      <c r="D446" t="s">
        <v>221</v>
      </c>
      <c r="F446" s="2">
        <v>0</v>
      </c>
      <c r="G446" s="2">
        <v>-99</v>
      </c>
    </row>
    <row r="447" spans="2:7" x14ac:dyDescent="0.35">
      <c r="B447" s="1">
        <v>45883</v>
      </c>
      <c r="C447" s="1"/>
      <c r="D447" t="s">
        <v>221</v>
      </c>
      <c r="F447" s="2">
        <v>0</v>
      </c>
      <c r="G447" s="2">
        <v>-99</v>
      </c>
    </row>
    <row r="448" spans="2:7" x14ac:dyDescent="0.35">
      <c r="B448" s="1">
        <v>45908</v>
      </c>
      <c r="C448" s="1"/>
      <c r="D448" t="s">
        <v>221</v>
      </c>
      <c r="F448" s="2">
        <v>0</v>
      </c>
      <c r="G448" s="2">
        <v>-99</v>
      </c>
    </row>
    <row r="449" spans="2:7" x14ac:dyDescent="0.35">
      <c r="B449" s="1">
        <v>45908</v>
      </c>
      <c r="C449" s="1"/>
      <c r="D449" t="s">
        <v>221</v>
      </c>
      <c r="F449" s="2">
        <v>0</v>
      </c>
      <c r="G449" s="2">
        <v>-200</v>
      </c>
    </row>
    <row r="450" spans="2:7" x14ac:dyDescent="0.35">
      <c r="B450" s="1">
        <v>45936</v>
      </c>
      <c r="C450" s="1"/>
      <c r="D450" t="s">
        <v>221</v>
      </c>
      <c r="F450" s="2">
        <v>0</v>
      </c>
      <c r="G450" s="2">
        <v>-99</v>
      </c>
    </row>
    <row r="451" spans="2:7" x14ac:dyDescent="0.35">
      <c r="B451" s="1">
        <v>45936</v>
      </c>
      <c r="C451" s="1"/>
      <c r="D451" t="s">
        <v>221</v>
      </c>
      <c r="F451" s="2">
        <v>0</v>
      </c>
      <c r="G451" s="2">
        <v>-160</v>
      </c>
    </row>
    <row r="452" spans="2:7" x14ac:dyDescent="0.35">
      <c r="B452" s="1">
        <v>46009</v>
      </c>
      <c r="C452" s="1"/>
      <c r="D452" t="s">
        <v>221</v>
      </c>
      <c r="F452" s="2">
        <v>0</v>
      </c>
      <c r="G452" s="2">
        <v>-87</v>
      </c>
    </row>
    <row r="453" spans="2:7" x14ac:dyDescent="0.35">
      <c r="B453" s="1">
        <v>46009</v>
      </c>
      <c r="C453" s="1"/>
      <c r="D453" t="s">
        <v>221</v>
      </c>
      <c r="F453" s="2">
        <v>0</v>
      </c>
      <c r="G453" s="2">
        <v>-144</v>
      </c>
    </row>
    <row r="454" spans="2:7" x14ac:dyDescent="0.35">
      <c r="B454" s="1">
        <v>45856</v>
      </c>
      <c r="C454" s="1"/>
      <c r="D454" t="s">
        <v>222</v>
      </c>
      <c r="F454" s="2">
        <v>0</v>
      </c>
      <c r="G454" s="2">
        <v>-142</v>
      </c>
    </row>
    <row r="455" spans="2:7" x14ac:dyDescent="0.35">
      <c r="B455" s="1">
        <v>45888</v>
      </c>
      <c r="C455" s="1"/>
      <c r="D455" t="s">
        <v>223</v>
      </c>
      <c r="F455" s="2">
        <v>0</v>
      </c>
      <c r="G455" s="2">
        <v>-3151.69</v>
      </c>
    </row>
    <row r="456" spans="2:7" x14ac:dyDescent="0.35">
      <c r="B456" s="1">
        <v>45990</v>
      </c>
      <c r="C456" s="1"/>
      <c r="D456" t="s">
        <v>224</v>
      </c>
      <c r="F456" s="2">
        <v>0</v>
      </c>
      <c r="G456" s="2">
        <v>-27.99</v>
      </c>
    </row>
    <row r="457" spans="2:7" x14ac:dyDescent="0.35">
      <c r="B457" s="1">
        <v>46000</v>
      </c>
      <c r="C457" s="1"/>
      <c r="D457" t="s">
        <v>225</v>
      </c>
      <c r="F457" s="2">
        <v>0</v>
      </c>
      <c r="G457" s="2">
        <v>-27.99</v>
      </c>
    </row>
    <row r="458" spans="2:7" x14ac:dyDescent="0.35">
      <c r="B458" s="1">
        <v>45890</v>
      </c>
      <c r="C458" s="1"/>
      <c r="D458" t="s">
        <v>226</v>
      </c>
      <c r="F458" s="2">
        <v>0</v>
      </c>
      <c r="G458" s="2">
        <v>-8.89</v>
      </c>
    </row>
    <row r="459" spans="2:7" x14ac:dyDescent="0.35">
      <c r="B459" s="1">
        <v>45845</v>
      </c>
      <c r="C459" s="1"/>
      <c r="D459" t="s">
        <v>227</v>
      </c>
      <c r="F459" s="2">
        <v>0</v>
      </c>
      <c r="G459" s="2">
        <v>-68.75</v>
      </c>
    </row>
    <row r="460" spans="2:7" x14ac:dyDescent="0.35">
      <c r="B460" s="1">
        <v>45845</v>
      </c>
      <c r="C460" s="1"/>
      <c r="D460" t="s">
        <v>227</v>
      </c>
      <c r="F460" s="2">
        <v>0</v>
      </c>
      <c r="G460" s="2">
        <v>-126.27</v>
      </c>
    </row>
    <row r="461" spans="2:7" x14ac:dyDescent="0.35">
      <c r="B461" s="1">
        <v>45847</v>
      </c>
      <c r="C461" s="1"/>
      <c r="D461" t="s">
        <v>227</v>
      </c>
      <c r="F461" s="2">
        <v>0</v>
      </c>
      <c r="G461" s="2">
        <v>-107.96</v>
      </c>
    </row>
    <row r="462" spans="2:7" x14ac:dyDescent="0.35">
      <c r="B462" s="1">
        <v>45854</v>
      </c>
      <c r="C462" s="1"/>
      <c r="D462" t="s">
        <v>227</v>
      </c>
      <c r="F462" s="2">
        <v>0</v>
      </c>
      <c r="G462" s="2">
        <v>-23.12</v>
      </c>
    </row>
    <row r="463" spans="2:7" x14ac:dyDescent="0.35">
      <c r="B463" s="1">
        <v>45868</v>
      </c>
      <c r="C463" s="1"/>
      <c r="D463" t="s">
        <v>227</v>
      </c>
      <c r="F463" s="2">
        <v>0</v>
      </c>
      <c r="G463" s="2">
        <v>-47.21</v>
      </c>
    </row>
    <row r="464" spans="2:7" x14ac:dyDescent="0.35">
      <c r="B464" s="1">
        <v>45877</v>
      </c>
      <c r="C464" s="1"/>
      <c r="D464" t="s">
        <v>227</v>
      </c>
      <c r="F464" s="2">
        <v>0</v>
      </c>
      <c r="G464" s="2">
        <v>-31.52</v>
      </c>
    </row>
    <row r="465" spans="2:7" x14ac:dyDescent="0.35">
      <c r="B465" s="1">
        <v>45883</v>
      </c>
      <c r="C465" s="1"/>
      <c r="D465" t="s">
        <v>227</v>
      </c>
      <c r="F465" s="2">
        <v>0</v>
      </c>
      <c r="G465" s="2">
        <v>-182.82</v>
      </c>
    </row>
    <row r="466" spans="2:7" x14ac:dyDescent="0.35">
      <c r="B466" s="1">
        <v>45919</v>
      </c>
      <c r="C466" s="1"/>
      <c r="D466" t="s">
        <v>227</v>
      </c>
      <c r="F466" s="2">
        <v>0</v>
      </c>
      <c r="G466" s="2">
        <v>-622.16999999999996</v>
      </c>
    </row>
    <row r="467" spans="2:7" x14ac:dyDescent="0.35">
      <c r="B467" s="1">
        <v>45980</v>
      </c>
      <c r="C467" s="1"/>
      <c r="D467" t="s">
        <v>227</v>
      </c>
      <c r="F467" s="2">
        <v>0</v>
      </c>
      <c r="G467" s="2">
        <v>-473.88</v>
      </c>
    </row>
    <row r="468" spans="2:7" x14ac:dyDescent="0.35">
      <c r="B468" s="1">
        <v>46003</v>
      </c>
      <c r="C468" s="1"/>
      <c r="D468" t="s">
        <v>227</v>
      </c>
      <c r="F468" s="2">
        <v>0</v>
      </c>
      <c r="G468" s="2">
        <v>-169.21</v>
      </c>
    </row>
    <row r="469" spans="2:7" x14ac:dyDescent="0.35">
      <c r="B469" s="1">
        <v>46031</v>
      </c>
      <c r="C469" s="1"/>
      <c r="D469" t="s">
        <v>227</v>
      </c>
      <c r="F469" s="2">
        <v>0</v>
      </c>
      <c r="G469" s="2">
        <v>-277.24</v>
      </c>
    </row>
    <row r="470" spans="2:7" x14ac:dyDescent="0.35">
      <c r="B470" s="1">
        <v>46037</v>
      </c>
      <c r="C470" s="1"/>
      <c r="D470" t="s">
        <v>227</v>
      </c>
      <c r="F470" s="2">
        <v>0</v>
      </c>
      <c r="G470" s="2">
        <v>-92.94</v>
      </c>
    </row>
    <row r="471" spans="2:7" x14ac:dyDescent="0.35">
      <c r="B471" s="1">
        <v>45888</v>
      </c>
      <c r="C471" s="1"/>
      <c r="D471" t="s">
        <v>228</v>
      </c>
      <c r="F471" s="2">
        <v>0</v>
      </c>
      <c r="G471" s="2">
        <v>-1149</v>
      </c>
    </row>
    <row r="472" spans="2:7" x14ac:dyDescent="0.35">
      <c r="B472" s="1">
        <v>45946</v>
      </c>
      <c r="C472" s="1"/>
      <c r="D472" t="s">
        <v>229</v>
      </c>
      <c r="F472" s="2">
        <v>0</v>
      </c>
      <c r="G472" s="2">
        <v>-79.930000000000007</v>
      </c>
    </row>
    <row r="473" spans="2:7" x14ac:dyDescent="0.35">
      <c r="B473" s="1">
        <v>45917</v>
      </c>
      <c r="C473" s="1"/>
      <c r="D473" t="s">
        <v>230</v>
      </c>
      <c r="F473" s="2">
        <v>0</v>
      </c>
      <c r="G473" s="2">
        <v>-12942.56</v>
      </c>
    </row>
    <row r="474" spans="2:7" x14ac:dyDescent="0.35">
      <c r="B474" s="1">
        <v>46035</v>
      </c>
      <c r="C474" s="1"/>
      <c r="D474" t="s">
        <v>231</v>
      </c>
      <c r="F474" s="2">
        <v>0</v>
      </c>
      <c r="G474" s="2">
        <v>-1278.92</v>
      </c>
    </row>
    <row r="475" spans="2:7" x14ac:dyDescent="0.35">
      <c r="B475" s="1">
        <v>46017</v>
      </c>
      <c r="C475" s="1"/>
      <c r="D475" t="s">
        <v>232</v>
      </c>
      <c r="F475" s="2">
        <v>0</v>
      </c>
      <c r="G475" s="2">
        <v>-977.54</v>
      </c>
    </row>
    <row r="476" spans="2:7" x14ac:dyDescent="0.35">
      <c r="B476" s="1">
        <v>46007</v>
      </c>
      <c r="C476" s="1"/>
      <c r="D476" t="s">
        <v>233</v>
      </c>
      <c r="F476" s="2">
        <v>0</v>
      </c>
      <c r="G476" s="2">
        <v>-62.11</v>
      </c>
    </row>
    <row r="477" spans="2:7" x14ac:dyDescent="0.35">
      <c r="B477" s="1">
        <v>45875</v>
      </c>
      <c r="C477" s="1"/>
      <c r="D477" t="s">
        <v>234</v>
      </c>
      <c r="F477" s="2">
        <v>0</v>
      </c>
      <c r="G477" s="2">
        <v>-53.33</v>
      </c>
    </row>
    <row r="478" spans="2:7" x14ac:dyDescent="0.35">
      <c r="B478" s="1">
        <v>45877</v>
      </c>
      <c r="C478" s="1"/>
      <c r="D478" t="s">
        <v>234</v>
      </c>
      <c r="F478" s="2">
        <v>0</v>
      </c>
      <c r="G478" s="2">
        <v>-102.96</v>
      </c>
    </row>
    <row r="479" spans="2:7" x14ac:dyDescent="0.35">
      <c r="B479" s="1">
        <v>45856</v>
      </c>
      <c r="C479" s="1"/>
      <c r="D479" t="s">
        <v>235</v>
      </c>
      <c r="F479" s="2">
        <v>0</v>
      </c>
      <c r="G479" s="2">
        <v>-34</v>
      </c>
    </row>
    <row r="480" spans="2:7" x14ac:dyDescent="0.35">
      <c r="B480" s="1">
        <v>45940</v>
      </c>
      <c r="C480" s="1"/>
      <c r="D480" t="s">
        <v>236</v>
      </c>
      <c r="F480" s="2">
        <v>0</v>
      </c>
      <c r="G480" s="2">
        <v>-60</v>
      </c>
    </row>
    <row r="481" spans="2:7" x14ac:dyDescent="0.35">
      <c r="B481" s="1">
        <v>46003</v>
      </c>
      <c r="C481" s="1"/>
      <c r="D481" t="s">
        <v>237</v>
      </c>
      <c r="F481" s="2">
        <v>0</v>
      </c>
      <c r="G481" s="2">
        <v>-146.22</v>
      </c>
    </row>
    <row r="482" spans="2:7" x14ac:dyDescent="0.35">
      <c r="B482" s="1">
        <v>45855</v>
      </c>
      <c r="C482" s="1"/>
      <c r="D482" t="s">
        <v>238</v>
      </c>
      <c r="F482" s="2">
        <v>0</v>
      </c>
      <c r="G482" s="2">
        <v>-56.76</v>
      </c>
    </row>
    <row r="483" spans="2:7" x14ac:dyDescent="0.35">
      <c r="B483" s="1">
        <v>45890</v>
      </c>
      <c r="C483" s="1"/>
      <c r="D483" t="s">
        <v>239</v>
      </c>
      <c r="F483" s="2">
        <v>0</v>
      </c>
      <c r="G483" s="2">
        <v>-14.56</v>
      </c>
    </row>
    <row r="484" spans="2:7" x14ac:dyDescent="0.35">
      <c r="B484" s="1">
        <v>45890</v>
      </c>
      <c r="C484" s="1"/>
      <c r="D484" t="s">
        <v>239</v>
      </c>
      <c r="F484" s="2">
        <v>0</v>
      </c>
      <c r="G484" s="2">
        <v>-24.57</v>
      </c>
    </row>
    <row r="485" spans="2:7" x14ac:dyDescent="0.35">
      <c r="B485" s="1">
        <v>45890</v>
      </c>
      <c r="C485" s="1"/>
      <c r="D485" t="s">
        <v>239</v>
      </c>
      <c r="F485" s="2">
        <v>0</v>
      </c>
      <c r="G485" s="2">
        <v>-24.73</v>
      </c>
    </row>
    <row r="486" spans="2:7" x14ac:dyDescent="0.35">
      <c r="B486" s="1">
        <v>45902</v>
      </c>
      <c r="C486" s="1"/>
      <c r="D486" t="s">
        <v>239</v>
      </c>
      <c r="F486" s="2">
        <v>0</v>
      </c>
      <c r="G486" s="2">
        <v>-28.18</v>
      </c>
    </row>
    <row r="487" spans="2:7" x14ac:dyDescent="0.35">
      <c r="B487" s="1">
        <v>45902</v>
      </c>
      <c r="C487" s="1"/>
      <c r="D487" t="s">
        <v>239</v>
      </c>
      <c r="F487" s="2">
        <v>0</v>
      </c>
      <c r="G487" s="2">
        <v>-152.21</v>
      </c>
    </row>
    <row r="488" spans="2:7" x14ac:dyDescent="0.35">
      <c r="B488" s="1">
        <v>45915</v>
      </c>
      <c r="C488" s="1"/>
      <c r="D488" t="s">
        <v>239</v>
      </c>
      <c r="F488" s="2">
        <v>0</v>
      </c>
      <c r="G488" s="2">
        <v>-12.87</v>
      </c>
    </row>
    <row r="489" spans="2:7" x14ac:dyDescent="0.35">
      <c r="B489" s="1">
        <v>45916</v>
      </c>
      <c r="C489" s="1"/>
      <c r="D489" t="s">
        <v>239</v>
      </c>
      <c r="F489" s="2">
        <v>0</v>
      </c>
      <c r="G489" s="2">
        <v>-5.8</v>
      </c>
    </row>
    <row r="490" spans="2:7" x14ac:dyDescent="0.35">
      <c r="B490" s="1">
        <v>45916</v>
      </c>
      <c r="C490" s="1"/>
      <c r="D490" t="s">
        <v>240</v>
      </c>
      <c r="F490" s="2">
        <v>0</v>
      </c>
      <c r="G490" s="2">
        <v>-25.82</v>
      </c>
    </row>
    <row r="491" spans="2:7" x14ac:dyDescent="0.35">
      <c r="B491" s="1">
        <v>45950</v>
      </c>
      <c r="C491" s="1"/>
      <c r="D491" t="s">
        <v>241</v>
      </c>
      <c r="F491" s="2">
        <v>0</v>
      </c>
      <c r="G491" s="2">
        <v>-147.19</v>
      </c>
    </row>
    <row r="492" spans="2:7" x14ac:dyDescent="0.35">
      <c r="B492" s="1">
        <v>45893</v>
      </c>
      <c r="C492" s="1"/>
      <c r="D492" t="s">
        <v>242</v>
      </c>
      <c r="F492" s="2">
        <v>0</v>
      </c>
      <c r="G492" s="2">
        <v>-16.78</v>
      </c>
    </row>
    <row r="493" spans="2:7" x14ac:dyDescent="0.35">
      <c r="B493" s="1">
        <v>45893</v>
      </c>
      <c r="C493" s="1"/>
      <c r="D493" t="s">
        <v>242</v>
      </c>
      <c r="F493" s="2">
        <v>0</v>
      </c>
      <c r="G493" s="2">
        <v>-94.76</v>
      </c>
    </row>
    <row r="494" spans="2:7" x14ac:dyDescent="0.35">
      <c r="B494" s="1">
        <v>45986</v>
      </c>
      <c r="C494" s="1"/>
      <c r="D494" t="s">
        <v>243</v>
      </c>
      <c r="F494" s="2">
        <v>0</v>
      </c>
      <c r="G494" s="2">
        <v>-175</v>
      </c>
    </row>
    <row r="495" spans="2:7" x14ac:dyDescent="0.35">
      <c r="B495" s="1">
        <v>45851</v>
      </c>
      <c r="C495" s="1"/>
      <c r="D495" t="s">
        <v>244</v>
      </c>
      <c r="F495" s="2">
        <v>0</v>
      </c>
      <c r="G495" s="2">
        <v>-38.81</v>
      </c>
    </row>
    <row r="496" spans="2:7" x14ac:dyDescent="0.35">
      <c r="B496" s="1">
        <v>45851</v>
      </c>
      <c r="C496" s="1"/>
      <c r="D496" t="s">
        <v>244</v>
      </c>
      <c r="F496" s="2">
        <v>0</v>
      </c>
      <c r="G496" s="2">
        <v>-68.290000000000006</v>
      </c>
    </row>
    <row r="497" spans="2:7" x14ac:dyDescent="0.35">
      <c r="B497" s="1">
        <v>45870</v>
      </c>
      <c r="C497" s="1"/>
      <c r="D497" t="s">
        <v>245</v>
      </c>
      <c r="F497" s="2">
        <v>0</v>
      </c>
      <c r="G497" s="2">
        <v>-5.48</v>
      </c>
    </row>
    <row r="498" spans="2:7" x14ac:dyDescent="0.35">
      <c r="B498" s="1">
        <v>45870</v>
      </c>
      <c r="C498" s="1"/>
      <c r="D498" t="s">
        <v>245</v>
      </c>
      <c r="F498" s="2">
        <v>0</v>
      </c>
      <c r="G498" s="2">
        <v>-152.47999999999999</v>
      </c>
    </row>
    <row r="499" spans="2:7" x14ac:dyDescent="0.35">
      <c r="B499" s="1">
        <v>45916</v>
      </c>
      <c r="C499" s="1"/>
      <c r="D499" t="s">
        <v>245</v>
      </c>
      <c r="F499" s="2">
        <v>0</v>
      </c>
      <c r="G499" s="2">
        <v>-10.34</v>
      </c>
    </row>
    <row r="500" spans="2:7" x14ac:dyDescent="0.35">
      <c r="B500" s="1">
        <v>45854</v>
      </c>
      <c r="C500" s="1"/>
      <c r="D500" t="s">
        <v>246</v>
      </c>
      <c r="F500" s="2">
        <v>0</v>
      </c>
      <c r="G500" s="2">
        <v>-206.88</v>
      </c>
    </row>
    <row r="501" spans="2:7" x14ac:dyDescent="0.35">
      <c r="B501" s="1">
        <v>45895</v>
      </c>
      <c r="C501" s="1"/>
      <c r="D501" t="s">
        <v>247</v>
      </c>
      <c r="F501" s="2">
        <v>0</v>
      </c>
      <c r="G501" s="2">
        <v>-1215.0999999999999</v>
      </c>
    </row>
    <row r="502" spans="2:7" x14ac:dyDescent="0.35">
      <c r="B502" s="1">
        <v>46034</v>
      </c>
      <c r="C502" s="1"/>
      <c r="D502" t="s">
        <v>248</v>
      </c>
      <c r="F502" s="2">
        <v>0</v>
      </c>
      <c r="G502" s="2">
        <v>-51.75</v>
      </c>
    </row>
    <row r="503" spans="2:7" x14ac:dyDescent="0.35">
      <c r="B503" s="1">
        <v>46034</v>
      </c>
      <c r="C503" s="1"/>
      <c r="D503" t="s">
        <v>248</v>
      </c>
      <c r="F503" s="2">
        <v>0</v>
      </c>
      <c r="G503" s="2">
        <v>-258.75</v>
      </c>
    </row>
    <row r="504" spans="2:7" x14ac:dyDescent="0.35">
      <c r="B504" s="1">
        <v>45966</v>
      </c>
      <c r="C504" s="1"/>
      <c r="D504" t="s">
        <v>249</v>
      </c>
      <c r="F504" s="2">
        <v>0</v>
      </c>
      <c r="G504" s="2">
        <v>-4263.66</v>
      </c>
    </row>
    <row r="505" spans="2:7" x14ac:dyDescent="0.35">
      <c r="B505" s="1">
        <v>45917</v>
      </c>
      <c r="C505" s="1"/>
      <c r="D505" t="s">
        <v>250</v>
      </c>
      <c r="F505" s="2">
        <v>0</v>
      </c>
      <c r="G505" s="2">
        <v>-19.440000000000001</v>
      </c>
    </row>
    <row r="506" spans="2:7" x14ac:dyDescent="0.35">
      <c r="B506" s="1">
        <v>45852</v>
      </c>
      <c r="C506" s="1"/>
      <c r="D506" t="s">
        <v>251</v>
      </c>
      <c r="F506" s="2">
        <v>0</v>
      </c>
      <c r="G506" s="2">
        <v>-133.97999999999999</v>
      </c>
    </row>
    <row r="507" spans="2:7" x14ac:dyDescent="0.35">
      <c r="B507" s="1">
        <v>45885</v>
      </c>
      <c r="C507" s="1"/>
      <c r="D507" t="s">
        <v>252</v>
      </c>
      <c r="F507" s="2">
        <v>0</v>
      </c>
      <c r="G507" s="2">
        <v>-192.47</v>
      </c>
    </row>
    <row r="508" spans="2:7" x14ac:dyDescent="0.35">
      <c r="B508" s="1">
        <v>46038</v>
      </c>
      <c r="C508" s="1"/>
      <c r="D508" t="s">
        <v>253</v>
      </c>
      <c r="F508" s="2">
        <v>0</v>
      </c>
      <c r="G508" s="2">
        <v>-11.15</v>
      </c>
    </row>
    <row r="509" spans="2:7" x14ac:dyDescent="0.35">
      <c r="B509" s="1">
        <v>45888</v>
      </c>
      <c r="C509" s="1"/>
      <c r="D509" t="s">
        <v>254</v>
      </c>
      <c r="F509" s="2">
        <v>0</v>
      </c>
      <c r="G509" s="2">
        <v>-10.7</v>
      </c>
    </row>
    <row r="510" spans="2:7" x14ac:dyDescent="0.35">
      <c r="B510" s="1">
        <v>45882</v>
      </c>
      <c r="C510" s="1"/>
      <c r="D510" t="s">
        <v>255</v>
      </c>
      <c r="F510" s="2">
        <v>0</v>
      </c>
      <c r="G510" s="2">
        <v>-17.850000000000001</v>
      </c>
    </row>
    <row r="511" spans="2:7" x14ac:dyDescent="0.35">
      <c r="B511" s="1">
        <v>45875</v>
      </c>
      <c r="C511" s="1"/>
      <c r="D511" t="s">
        <v>256</v>
      </c>
      <c r="F511" s="2">
        <v>0</v>
      </c>
      <c r="G511" s="2">
        <v>-7.89</v>
      </c>
    </row>
    <row r="512" spans="2:7" x14ac:dyDescent="0.35">
      <c r="B512" s="1">
        <v>45901</v>
      </c>
      <c r="C512" s="1"/>
      <c r="D512" t="s">
        <v>257</v>
      </c>
      <c r="F512" s="2">
        <v>0</v>
      </c>
      <c r="G512" s="2">
        <v>-29.63</v>
      </c>
    </row>
    <row r="513" spans="2:7" x14ac:dyDescent="0.35">
      <c r="B513" s="1">
        <v>45874</v>
      </c>
      <c r="C513" s="1"/>
      <c r="D513" t="s">
        <v>258</v>
      </c>
      <c r="F513" s="2">
        <v>0</v>
      </c>
      <c r="G513" s="2">
        <v>-19.559999999999999</v>
      </c>
    </row>
    <row r="514" spans="2:7" x14ac:dyDescent="0.35">
      <c r="B514" s="1">
        <v>45880</v>
      </c>
      <c r="C514" s="1"/>
      <c r="D514" t="s">
        <v>258</v>
      </c>
      <c r="F514" s="2">
        <v>0</v>
      </c>
      <c r="G514" s="2">
        <v>-7.61</v>
      </c>
    </row>
    <row r="515" spans="2:7" x14ac:dyDescent="0.35">
      <c r="B515" s="1">
        <v>45884</v>
      </c>
      <c r="C515" s="1"/>
      <c r="D515" t="s">
        <v>258</v>
      </c>
      <c r="F515" s="2">
        <v>0</v>
      </c>
      <c r="G515" s="2">
        <v>-168.55</v>
      </c>
    </row>
    <row r="516" spans="2:7" x14ac:dyDescent="0.35">
      <c r="B516" s="1">
        <v>45996</v>
      </c>
      <c r="C516" s="1"/>
      <c r="D516" t="s">
        <v>259</v>
      </c>
      <c r="F516" s="2">
        <v>0</v>
      </c>
      <c r="G516" s="2">
        <v>-21.75</v>
      </c>
    </row>
    <row r="517" spans="2:7" x14ac:dyDescent="0.35">
      <c r="B517" s="1">
        <v>45859</v>
      </c>
      <c r="C517" s="1"/>
      <c r="D517" t="s">
        <v>260</v>
      </c>
      <c r="F517" s="2">
        <v>0</v>
      </c>
      <c r="G517" s="2">
        <v>-30</v>
      </c>
    </row>
    <row r="518" spans="2:7" x14ac:dyDescent="0.35">
      <c r="B518" s="1">
        <v>45890</v>
      </c>
      <c r="C518" s="1"/>
      <c r="D518" t="s">
        <v>260</v>
      </c>
      <c r="F518" s="2">
        <v>0</v>
      </c>
      <c r="G518" s="2">
        <v>-30</v>
      </c>
    </row>
    <row r="519" spans="2:7" x14ac:dyDescent="0.35">
      <c r="B519" s="1">
        <v>45921</v>
      </c>
      <c r="C519" s="1"/>
      <c r="D519" t="s">
        <v>260</v>
      </c>
      <c r="F519" s="2">
        <v>0</v>
      </c>
      <c r="G519" s="2">
        <v>-30</v>
      </c>
    </row>
    <row r="520" spans="2:7" x14ac:dyDescent="0.35">
      <c r="B520" s="1">
        <v>45951</v>
      </c>
      <c r="C520" s="1"/>
      <c r="D520" t="s">
        <v>260</v>
      </c>
      <c r="F520" s="2">
        <v>0</v>
      </c>
      <c r="G520" s="2">
        <v>-30</v>
      </c>
    </row>
    <row r="521" spans="2:7" x14ac:dyDescent="0.35">
      <c r="B521" s="1">
        <v>45982</v>
      </c>
      <c r="C521" s="1"/>
      <c r="D521" t="s">
        <v>260</v>
      </c>
      <c r="F521" s="2">
        <v>0</v>
      </c>
      <c r="G521" s="2">
        <v>-30</v>
      </c>
    </row>
    <row r="522" spans="2:7" x14ac:dyDescent="0.35">
      <c r="B522" s="1">
        <v>46012</v>
      </c>
      <c r="C522" s="1"/>
      <c r="D522" t="s">
        <v>260</v>
      </c>
      <c r="F522" s="2">
        <v>0</v>
      </c>
      <c r="G522" s="2">
        <v>-30</v>
      </c>
    </row>
    <row r="523" spans="2:7" x14ac:dyDescent="0.35">
      <c r="B523" s="1">
        <v>46043</v>
      </c>
      <c r="C523" s="1"/>
      <c r="D523" t="s">
        <v>260</v>
      </c>
      <c r="F523" s="2">
        <v>0</v>
      </c>
      <c r="G523" s="2">
        <v>-30</v>
      </c>
    </row>
    <row r="524" spans="2:7" x14ac:dyDescent="0.35">
      <c r="B524" s="1">
        <v>45985</v>
      </c>
      <c r="C524" s="1"/>
      <c r="D524" t="s">
        <v>261</v>
      </c>
      <c r="F524" s="2">
        <v>0</v>
      </c>
      <c r="G524" s="2">
        <v>-66.989999999999995</v>
      </c>
    </row>
    <row r="525" spans="2:7" x14ac:dyDescent="0.35">
      <c r="B525" s="1">
        <v>45987</v>
      </c>
      <c r="C525" s="1"/>
      <c r="D525" t="s">
        <v>261</v>
      </c>
      <c r="F525" s="2">
        <v>0</v>
      </c>
      <c r="G525" s="2">
        <v>-16.809999999999999</v>
      </c>
    </row>
    <row r="526" spans="2:7" x14ac:dyDescent="0.35">
      <c r="B526" s="1">
        <v>45987</v>
      </c>
      <c r="C526" s="1"/>
      <c r="D526" t="s">
        <v>262</v>
      </c>
      <c r="F526" s="2">
        <v>0</v>
      </c>
      <c r="G526" s="2">
        <v>-135.6</v>
      </c>
    </row>
    <row r="527" spans="2:7" x14ac:dyDescent="0.35">
      <c r="B527" s="1">
        <v>45849</v>
      </c>
      <c r="C527" s="1"/>
      <c r="D527" t="s">
        <v>263</v>
      </c>
      <c r="F527" s="2">
        <v>0</v>
      </c>
      <c r="G527" s="2">
        <v>-113.45</v>
      </c>
    </row>
    <row r="528" spans="2:7" x14ac:dyDescent="0.35">
      <c r="B528" s="1">
        <v>45903</v>
      </c>
      <c r="C528" s="1"/>
      <c r="D528" t="s">
        <v>263</v>
      </c>
      <c r="F528" s="2">
        <v>0</v>
      </c>
      <c r="G528" s="2">
        <v>-94.97</v>
      </c>
    </row>
    <row r="529" spans="2:7" x14ac:dyDescent="0.35">
      <c r="B529" s="1">
        <v>46005</v>
      </c>
      <c r="C529" s="1"/>
      <c r="D529" t="s">
        <v>263</v>
      </c>
      <c r="F529" s="2">
        <v>0</v>
      </c>
      <c r="G529" s="2">
        <v>-239.9</v>
      </c>
    </row>
    <row r="530" spans="2:7" x14ac:dyDescent="0.35">
      <c r="B530" s="1">
        <v>46041</v>
      </c>
      <c r="C530" s="1"/>
      <c r="D530" t="s">
        <v>263</v>
      </c>
      <c r="F530" s="2">
        <v>0</v>
      </c>
      <c r="G530" s="2">
        <v>-152.56</v>
      </c>
    </row>
    <row r="531" spans="2:7" x14ac:dyDescent="0.35">
      <c r="B531" s="1">
        <v>46038</v>
      </c>
      <c r="C531" s="1"/>
      <c r="D531" t="s">
        <v>264</v>
      </c>
      <c r="F531" s="2">
        <v>0</v>
      </c>
      <c r="G531" s="2">
        <v>-45.7</v>
      </c>
    </row>
    <row r="532" spans="2:7" x14ac:dyDescent="0.35">
      <c r="B532" s="1">
        <v>45996</v>
      </c>
      <c r="C532" s="1"/>
      <c r="D532" t="s">
        <v>265</v>
      </c>
      <c r="F532" s="2">
        <v>0</v>
      </c>
      <c r="G532" s="2">
        <v>-20.56</v>
      </c>
    </row>
    <row r="533" spans="2:7" x14ac:dyDescent="0.35">
      <c r="B533" s="1">
        <v>45866</v>
      </c>
      <c r="C533" s="1"/>
      <c r="D533" t="s">
        <v>266</v>
      </c>
      <c r="F533" s="2">
        <v>0</v>
      </c>
      <c r="G533" s="2">
        <v>-125</v>
      </c>
    </row>
    <row r="534" spans="2:7" x14ac:dyDescent="0.35">
      <c r="B534" s="1">
        <v>45869</v>
      </c>
      <c r="C534" s="1"/>
      <c r="D534" t="s">
        <v>266</v>
      </c>
      <c r="F534" s="2">
        <v>0</v>
      </c>
      <c r="G534" s="2">
        <v>-1262.73</v>
      </c>
    </row>
    <row r="535" spans="2:7" x14ac:dyDescent="0.35">
      <c r="B535" s="1">
        <v>45891</v>
      </c>
      <c r="C535" s="1"/>
      <c r="D535" t="s">
        <v>266</v>
      </c>
      <c r="F535" s="2">
        <v>0</v>
      </c>
      <c r="G535" s="2">
        <v>-6.25</v>
      </c>
    </row>
    <row r="536" spans="2:7" x14ac:dyDescent="0.35">
      <c r="B536" s="1">
        <v>45892</v>
      </c>
      <c r="C536" s="1"/>
      <c r="D536" t="s">
        <v>266</v>
      </c>
      <c r="F536" s="2">
        <v>0</v>
      </c>
      <c r="G536" s="2">
        <v>-28.4</v>
      </c>
    </row>
    <row r="537" spans="2:7" x14ac:dyDescent="0.35">
      <c r="B537" s="1">
        <v>46045</v>
      </c>
      <c r="C537" s="1"/>
      <c r="D537" t="s">
        <v>266</v>
      </c>
      <c r="F537" s="2">
        <v>0</v>
      </c>
      <c r="G537" s="2">
        <v>-1487.81</v>
      </c>
    </row>
    <row r="538" spans="2:7" x14ac:dyDescent="0.35">
      <c r="B538" s="1">
        <v>45842</v>
      </c>
      <c r="C538" s="1"/>
      <c r="D538" t="s">
        <v>50</v>
      </c>
      <c r="F538" s="2">
        <v>0</v>
      </c>
      <c r="G538" s="2">
        <v>-926.17</v>
      </c>
    </row>
    <row r="539" spans="2:7" x14ac:dyDescent="0.35">
      <c r="B539" s="1">
        <v>45843</v>
      </c>
      <c r="C539" s="1"/>
      <c r="D539" t="s">
        <v>50</v>
      </c>
      <c r="F539" s="2">
        <v>0</v>
      </c>
      <c r="G539" s="2">
        <v>-96.74</v>
      </c>
    </row>
    <row r="540" spans="2:7" x14ac:dyDescent="0.35">
      <c r="B540" s="1">
        <v>45871</v>
      </c>
      <c r="C540" s="1"/>
      <c r="D540" t="s">
        <v>50</v>
      </c>
      <c r="F540" s="2">
        <v>0</v>
      </c>
      <c r="G540" s="2">
        <v>-271.43</v>
      </c>
    </row>
    <row r="541" spans="2:7" x14ac:dyDescent="0.35">
      <c r="B541" s="1">
        <v>45910</v>
      </c>
      <c r="C541" s="1"/>
      <c r="D541" t="s">
        <v>50</v>
      </c>
      <c r="F541" s="2">
        <v>0</v>
      </c>
      <c r="G541" s="2">
        <v>-46.71</v>
      </c>
    </row>
    <row r="542" spans="2:7" x14ac:dyDescent="0.35">
      <c r="B542" s="1">
        <v>45974</v>
      </c>
      <c r="C542" s="1"/>
      <c r="D542" t="s">
        <v>50</v>
      </c>
      <c r="F542" s="2">
        <v>0</v>
      </c>
      <c r="G542" s="2">
        <v>-48.29</v>
      </c>
    </row>
    <row r="543" spans="2:7" x14ac:dyDescent="0.35">
      <c r="B543" s="1">
        <v>45991</v>
      </c>
      <c r="C543" s="1"/>
      <c r="D543" t="s">
        <v>50</v>
      </c>
      <c r="F543" s="2">
        <v>0</v>
      </c>
      <c r="G543" s="2">
        <v>-487.07</v>
      </c>
    </row>
    <row r="544" spans="2:7" x14ac:dyDescent="0.35">
      <c r="B544" s="1">
        <v>45986</v>
      </c>
      <c r="C544" s="1"/>
      <c r="D544" t="s">
        <v>267</v>
      </c>
      <c r="F544" s="2">
        <v>0</v>
      </c>
      <c r="G544" s="2">
        <v>-85.86</v>
      </c>
    </row>
    <row r="545" spans="2:7" x14ac:dyDescent="0.35">
      <c r="B545" s="1">
        <v>46002</v>
      </c>
      <c r="C545" s="1"/>
      <c r="D545" t="s">
        <v>267</v>
      </c>
      <c r="F545" s="2">
        <v>0</v>
      </c>
      <c r="G545" s="2">
        <v>-154.38999999999999</v>
      </c>
    </row>
    <row r="546" spans="2:7" x14ac:dyDescent="0.35">
      <c r="B546" s="1">
        <v>45866</v>
      </c>
      <c r="C546" s="1"/>
      <c r="D546" t="s">
        <v>268</v>
      </c>
      <c r="F546" s="2">
        <v>0</v>
      </c>
      <c r="G546" s="2">
        <v>-47.23</v>
      </c>
    </row>
    <row r="547" spans="2:7" x14ac:dyDescent="0.35">
      <c r="B547" s="1">
        <v>45951</v>
      </c>
      <c r="C547" s="1"/>
      <c r="D547" t="s">
        <v>269</v>
      </c>
      <c r="F547" s="2">
        <v>0</v>
      </c>
      <c r="G547" s="2">
        <v>-278.86</v>
      </c>
    </row>
    <row r="548" spans="2:7" x14ac:dyDescent="0.35">
      <c r="B548" s="1">
        <v>46007</v>
      </c>
      <c r="C548" s="1"/>
      <c r="D548" t="s">
        <v>270</v>
      </c>
      <c r="F548" s="2">
        <v>0</v>
      </c>
      <c r="G548" s="2">
        <v>-408.54</v>
      </c>
    </row>
    <row r="549" spans="2:7" x14ac:dyDescent="0.35">
      <c r="B549" s="1">
        <v>46007</v>
      </c>
      <c r="C549" s="1"/>
      <c r="D549" t="s">
        <v>270</v>
      </c>
      <c r="F549" s="2">
        <v>0</v>
      </c>
      <c r="G549" s="2">
        <v>-515.70000000000005</v>
      </c>
    </row>
    <row r="550" spans="2:7" x14ac:dyDescent="0.35">
      <c r="B550" s="1">
        <v>45856</v>
      </c>
      <c r="C550" s="1"/>
      <c r="D550" t="s">
        <v>271</v>
      </c>
      <c r="F550" s="2">
        <v>0</v>
      </c>
      <c r="G550" s="2">
        <v>-1467.24</v>
      </c>
    </row>
    <row r="551" spans="2:7" x14ac:dyDescent="0.35">
      <c r="B551" s="1">
        <v>45874</v>
      </c>
      <c r="C551" s="1"/>
      <c r="D551" t="s">
        <v>271</v>
      </c>
      <c r="F551" s="2">
        <v>0</v>
      </c>
      <c r="G551" s="2">
        <v>-536.6</v>
      </c>
    </row>
    <row r="552" spans="2:7" x14ac:dyDescent="0.35">
      <c r="B552" s="1">
        <v>45878</v>
      </c>
      <c r="C552" s="1"/>
      <c r="D552" t="s">
        <v>271</v>
      </c>
      <c r="F552" s="2">
        <v>0</v>
      </c>
      <c r="G552" s="2">
        <v>-193.57</v>
      </c>
    </row>
    <row r="553" spans="2:7" x14ac:dyDescent="0.35">
      <c r="B553" s="1">
        <v>45915</v>
      </c>
      <c r="C553" s="1"/>
      <c r="D553" t="s">
        <v>271</v>
      </c>
      <c r="F553" s="2">
        <v>0</v>
      </c>
      <c r="G553" s="2">
        <v>-173.5</v>
      </c>
    </row>
    <row r="554" spans="2:7" x14ac:dyDescent="0.35">
      <c r="B554" s="1">
        <v>45915</v>
      </c>
      <c r="C554" s="1"/>
      <c r="D554" t="s">
        <v>271</v>
      </c>
      <c r="F554" s="2">
        <v>0</v>
      </c>
      <c r="G554" s="2">
        <v>-324.23</v>
      </c>
    </row>
    <row r="555" spans="2:7" x14ac:dyDescent="0.35">
      <c r="B555" s="1">
        <v>45994</v>
      </c>
      <c r="C555" s="1"/>
      <c r="D555" t="s">
        <v>271</v>
      </c>
      <c r="F555" s="2">
        <v>0</v>
      </c>
      <c r="G555" s="2">
        <v>-77.47</v>
      </c>
    </row>
    <row r="556" spans="2:7" x14ac:dyDescent="0.35">
      <c r="B556" s="1">
        <v>45880</v>
      </c>
      <c r="C556" s="1"/>
      <c r="D556" t="s">
        <v>272</v>
      </c>
      <c r="F556" s="2">
        <v>0</v>
      </c>
      <c r="G556" s="2">
        <v>-80</v>
      </c>
    </row>
    <row r="557" spans="2:7" x14ac:dyDescent="0.35">
      <c r="B557" s="1">
        <v>46038</v>
      </c>
      <c r="C557" s="1"/>
      <c r="D557" t="s">
        <v>273</v>
      </c>
      <c r="F557" s="2">
        <v>0</v>
      </c>
      <c r="G557" s="2">
        <v>-26.19</v>
      </c>
    </row>
    <row r="558" spans="2:7" x14ac:dyDescent="0.35">
      <c r="B558" s="1">
        <v>45968</v>
      </c>
      <c r="C558" s="1"/>
      <c r="D558" t="s">
        <v>274</v>
      </c>
      <c r="F558" s="2">
        <v>0</v>
      </c>
      <c r="G558" s="2">
        <v>-1071.6600000000001</v>
      </c>
    </row>
    <row r="559" spans="2:7" x14ac:dyDescent="0.35">
      <c r="B559" s="1">
        <v>45999</v>
      </c>
      <c r="C559" s="1"/>
      <c r="D559" t="s">
        <v>274</v>
      </c>
      <c r="F559" s="2">
        <v>0</v>
      </c>
      <c r="G559" s="2">
        <v>-2064.5500000000002</v>
      </c>
    </row>
    <row r="560" spans="2:7" x14ac:dyDescent="0.35">
      <c r="B560" s="1">
        <v>46000</v>
      </c>
      <c r="C560" s="1"/>
      <c r="D560" t="s">
        <v>275</v>
      </c>
      <c r="F560" s="2">
        <v>0</v>
      </c>
      <c r="G560" s="2">
        <v>-2015.66</v>
      </c>
    </row>
    <row r="561" spans="2:7" x14ac:dyDescent="0.35">
      <c r="B561" s="1">
        <v>45866</v>
      </c>
      <c r="C561" s="1"/>
      <c r="D561" t="s">
        <v>276</v>
      </c>
      <c r="F561" s="2">
        <v>0</v>
      </c>
      <c r="G561" s="2">
        <v>-362.04</v>
      </c>
    </row>
    <row r="562" spans="2:7" x14ac:dyDescent="0.35">
      <c r="B562" s="1">
        <v>46031</v>
      </c>
      <c r="C562" s="1"/>
      <c r="D562" t="s">
        <v>277</v>
      </c>
      <c r="F562" s="2">
        <v>0</v>
      </c>
      <c r="G562" s="2">
        <v>-430</v>
      </c>
    </row>
    <row r="563" spans="2:7" x14ac:dyDescent="0.35">
      <c r="B563" s="1">
        <v>45927</v>
      </c>
      <c r="C563" s="1"/>
      <c r="D563" t="s">
        <v>278</v>
      </c>
      <c r="F563" s="2">
        <v>0</v>
      </c>
      <c r="G563" s="2">
        <v>-35.47</v>
      </c>
    </row>
    <row r="564" spans="2:7" x14ac:dyDescent="0.35">
      <c r="B564" s="1">
        <v>45869</v>
      </c>
      <c r="C564" s="1"/>
      <c r="D564" t="s">
        <v>279</v>
      </c>
      <c r="F564" s="2">
        <v>0</v>
      </c>
      <c r="G564" s="2">
        <v>-124.46</v>
      </c>
    </row>
    <row r="565" spans="2:7" x14ac:dyDescent="0.35">
      <c r="B565" s="1">
        <v>45874</v>
      </c>
      <c r="C565" s="1"/>
      <c r="D565" t="s">
        <v>279</v>
      </c>
      <c r="F565" s="2">
        <v>0</v>
      </c>
      <c r="G565" s="2">
        <v>-68.11</v>
      </c>
    </row>
    <row r="566" spans="2:7" x14ac:dyDescent="0.35">
      <c r="B566" s="1">
        <v>45930</v>
      </c>
      <c r="C566" s="1"/>
      <c r="D566" t="s">
        <v>279</v>
      </c>
      <c r="F566" s="2">
        <v>0</v>
      </c>
      <c r="G566" s="2">
        <v>-51.92</v>
      </c>
    </row>
    <row r="567" spans="2:7" x14ac:dyDescent="0.35">
      <c r="B567" s="1">
        <v>46030</v>
      </c>
      <c r="C567" s="1"/>
      <c r="D567" t="s">
        <v>279</v>
      </c>
      <c r="F567" s="2">
        <v>0</v>
      </c>
      <c r="G567" s="2">
        <v>-41.15</v>
      </c>
    </row>
    <row r="568" spans="2:7" x14ac:dyDescent="0.35">
      <c r="B568" s="1">
        <v>46038</v>
      </c>
      <c r="C568" s="1"/>
      <c r="D568" t="s">
        <v>279</v>
      </c>
      <c r="F568" s="2">
        <v>0</v>
      </c>
      <c r="G568" s="2">
        <v>-39.28</v>
      </c>
    </row>
    <row r="569" spans="2:7" x14ac:dyDescent="0.35">
      <c r="B569" s="1">
        <v>46027</v>
      </c>
      <c r="C569" s="1"/>
      <c r="D569" t="s">
        <v>280</v>
      </c>
      <c r="F569" s="2">
        <v>0</v>
      </c>
      <c r="G569" s="2">
        <v>-129.02000000000001</v>
      </c>
    </row>
    <row r="570" spans="2:7" x14ac:dyDescent="0.35">
      <c r="B570" s="1">
        <v>45849</v>
      </c>
      <c r="C570" s="1"/>
      <c r="D570" t="s">
        <v>281</v>
      </c>
      <c r="F570" s="2">
        <v>0</v>
      </c>
      <c r="G570" s="2">
        <v>-96.28</v>
      </c>
    </row>
    <row r="571" spans="2:7" x14ac:dyDescent="0.35">
      <c r="B571" s="1">
        <v>45877</v>
      </c>
      <c r="C571" s="1"/>
      <c r="D571" t="s">
        <v>281</v>
      </c>
      <c r="F571" s="2">
        <v>0</v>
      </c>
      <c r="G571" s="2">
        <v>-19.350000000000001</v>
      </c>
    </row>
    <row r="572" spans="2:7" x14ac:dyDescent="0.35">
      <c r="B572" s="1">
        <v>45877</v>
      </c>
      <c r="C572" s="1"/>
      <c r="D572" t="s">
        <v>281</v>
      </c>
      <c r="F572" s="2">
        <v>0</v>
      </c>
      <c r="G572" s="2">
        <v>-107.19</v>
      </c>
    </row>
    <row r="573" spans="2:7" x14ac:dyDescent="0.35">
      <c r="B573" s="1">
        <v>45924</v>
      </c>
      <c r="C573" s="1"/>
      <c r="D573" t="s">
        <v>282</v>
      </c>
      <c r="F573" s="2">
        <v>0</v>
      </c>
      <c r="G573" s="2">
        <v>-105.59</v>
      </c>
    </row>
    <row r="574" spans="2:7" x14ac:dyDescent="0.35">
      <c r="B574" s="1">
        <v>46005</v>
      </c>
      <c r="C574" s="1"/>
      <c r="D574" t="s">
        <v>283</v>
      </c>
      <c r="F574" s="2">
        <v>0</v>
      </c>
      <c r="G574" s="2">
        <v>-160.38999999999999</v>
      </c>
    </row>
    <row r="575" spans="2:7" x14ac:dyDescent="0.35">
      <c r="B575" s="1">
        <v>45844</v>
      </c>
      <c r="C575" s="1"/>
      <c r="D575" t="s">
        <v>284</v>
      </c>
      <c r="F575" s="2">
        <v>0</v>
      </c>
      <c r="G575" s="2">
        <v>-70.14</v>
      </c>
    </row>
    <row r="576" spans="2:7" x14ac:dyDescent="0.35">
      <c r="B576" s="1">
        <v>45847</v>
      </c>
      <c r="C576" s="1"/>
      <c r="D576" t="s">
        <v>284</v>
      </c>
      <c r="F576" s="2">
        <v>0</v>
      </c>
      <c r="G576" s="2">
        <v>-41.78</v>
      </c>
    </row>
    <row r="577" spans="2:7" x14ac:dyDescent="0.35">
      <c r="B577" s="1">
        <v>46003</v>
      </c>
      <c r="C577" s="1"/>
      <c r="D577" t="s">
        <v>284</v>
      </c>
      <c r="F577" s="2">
        <v>0</v>
      </c>
      <c r="G577" s="2">
        <v>-150.66999999999999</v>
      </c>
    </row>
    <row r="578" spans="2:7" x14ac:dyDescent="0.35">
      <c r="B578" s="1">
        <v>45846</v>
      </c>
      <c r="C578" s="1"/>
      <c r="D578" t="s">
        <v>285</v>
      </c>
      <c r="F578" s="2">
        <v>0</v>
      </c>
      <c r="G578" s="2">
        <v>-130.35</v>
      </c>
    </row>
    <row r="579" spans="2:7" x14ac:dyDescent="0.35">
      <c r="B579" s="1">
        <v>45908</v>
      </c>
      <c r="C579" s="1"/>
      <c r="D579" t="s">
        <v>285</v>
      </c>
      <c r="F579" s="2">
        <v>0</v>
      </c>
      <c r="G579" s="2">
        <v>-273.85000000000002</v>
      </c>
    </row>
    <row r="580" spans="2:7" x14ac:dyDescent="0.35">
      <c r="B580" s="1">
        <v>46025</v>
      </c>
      <c r="C580" s="1"/>
      <c r="D580" t="s">
        <v>286</v>
      </c>
      <c r="F580" s="2">
        <v>0</v>
      </c>
      <c r="G580" s="2">
        <v>-61.11</v>
      </c>
    </row>
    <row r="581" spans="2:7" x14ac:dyDescent="0.35">
      <c r="B581" s="1">
        <v>46036</v>
      </c>
      <c r="C581" s="1"/>
      <c r="D581" t="s">
        <v>286</v>
      </c>
      <c r="F581" s="2">
        <v>0</v>
      </c>
      <c r="G581" s="2">
        <v>-244.53</v>
      </c>
    </row>
    <row r="582" spans="2:7" x14ac:dyDescent="0.35">
      <c r="B582" s="1">
        <v>45979</v>
      </c>
      <c r="C582" s="1"/>
      <c r="D582" t="s">
        <v>287</v>
      </c>
      <c r="F582" s="2">
        <v>0</v>
      </c>
      <c r="G582" s="2">
        <v>-90.97</v>
      </c>
    </row>
    <row r="583" spans="2:7" x14ac:dyDescent="0.35">
      <c r="B583" s="1">
        <v>45899</v>
      </c>
      <c r="C583" s="1"/>
      <c r="D583" t="s">
        <v>288</v>
      </c>
      <c r="F583" s="2">
        <v>0</v>
      </c>
      <c r="G583" s="2">
        <v>-51.15</v>
      </c>
    </row>
    <row r="584" spans="2:7" x14ac:dyDescent="0.35">
      <c r="B584" s="1">
        <v>45937</v>
      </c>
      <c r="C584" s="1"/>
      <c r="D584" t="s">
        <v>289</v>
      </c>
      <c r="F584" s="2">
        <v>0</v>
      </c>
      <c r="G584" s="2">
        <v>-265</v>
      </c>
    </row>
    <row r="585" spans="2:7" x14ac:dyDescent="0.35">
      <c r="B585" s="1">
        <v>45937</v>
      </c>
      <c r="C585" s="1"/>
      <c r="D585" t="s">
        <v>289</v>
      </c>
      <c r="F585" s="2">
        <v>0</v>
      </c>
      <c r="G585" s="2">
        <v>-265</v>
      </c>
    </row>
    <row r="586" spans="2:7" x14ac:dyDescent="0.35">
      <c r="B586" s="1">
        <v>45937</v>
      </c>
      <c r="C586" s="1"/>
      <c r="D586" t="s">
        <v>289</v>
      </c>
      <c r="F586" s="2">
        <v>0</v>
      </c>
      <c r="G586" s="2">
        <v>-265</v>
      </c>
    </row>
    <row r="587" spans="2:7" x14ac:dyDescent="0.35">
      <c r="B587" s="1">
        <v>45996</v>
      </c>
      <c r="C587" s="1"/>
      <c r="D587" t="s">
        <v>290</v>
      </c>
      <c r="F587" s="2">
        <v>0</v>
      </c>
      <c r="G587" s="2">
        <v>-55.58</v>
      </c>
    </row>
    <row r="588" spans="2:7" x14ac:dyDescent="0.35">
      <c r="B588" s="1">
        <v>45996</v>
      </c>
      <c r="C588" s="1"/>
      <c r="D588" t="s">
        <v>290</v>
      </c>
      <c r="F588" s="2">
        <v>0</v>
      </c>
      <c r="G588" s="2">
        <v>-107.14</v>
      </c>
    </row>
    <row r="589" spans="2:7" x14ac:dyDescent="0.35">
      <c r="B589" s="1">
        <v>45927</v>
      </c>
      <c r="C589" s="1"/>
      <c r="D589" t="s">
        <v>291</v>
      </c>
      <c r="F589" s="2">
        <v>0</v>
      </c>
      <c r="G589" s="2">
        <v>-187.81</v>
      </c>
    </row>
    <row r="590" spans="2:7" x14ac:dyDescent="0.35">
      <c r="B590" s="1">
        <v>45940</v>
      </c>
      <c r="C590" s="1"/>
      <c r="D590" t="s">
        <v>291</v>
      </c>
      <c r="F590" s="2">
        <v>0</v>
      </c>
      <c r="G590" s="2">
        <v>-383.48</v>
      </c>
    </row>
    <row r="591" spans="2:7" x14ac:dyDescent="0.35">
      <c r="B591" s="1">
        <v>45979</v>
      </c>
      <c r="C591" s="1"/>
      <c r="D591" t="s">
        <v>292</v>
      </c>
      <c r="F591" s="2">
        <v>0</v>
      </c>
      <c r="G591" s="2">
        <v>-211.15</v>
      </c>
    </row>
    <row r="592" spans="2:7" x14ac:dyDescent="0.35">
      <c r="B592" s="1">
        <v>45887</v>
      </c>
      <c r="C592" s="1"/>
      <c r="D592" t="s">
        <v>293</v>
      </c>
      <c r="F592" s="2">
        <v>0</v>
      </c>
      <c r="G592" s="2">
        <v>-20.75</v>
      </c>
    </row>
    <row r="593" spans="2:7" x14ac:dyDescent="0.35">
      <c r="B593" s="1">
        <v>45855</v>
      </c>
      <c r="C593" s="1"/>
      <c r="D593" t="s">
        <v>294</v>
      </c>
      <c r="F593" s="2">
        <v>0</v>
      </c>
      <c r="G593" s="2">
        <v>-10.31</v>
      </c>
    </row>
    <row r="594" spans="2:7" x14ac:dyDescent="0.35">
      <c r="B594" s="1">
        <v>45900</v>
      </c>
      <c r="C594" s="1"/>
      <c r="D594" t="s">
        <v>295</v>
      </c>
      <c r="F594" s="2">
        <v>0</v>
      </c>
      <c r="G594" s="2">
        <v>-29.86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AD991-1958-4DF5-9AF0-A3379B59A263}">
  <dimension ref="A1"/>
  <sheetViews>
    <sheetView tabSelected="1" topLeftCell="A61"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Nate Tyler</dc:creator>
  <cp:lastModifiedBy>Nate Tyler</cp:lastModifiedBy>
  <dcterms:created xsi:type="dcterms:W3CDTF">2026-01-07T22:00:21Z</dcterms:created>
  <dcterms:modified xsi:type="dcterms:W3CDTF">2026-04-10T20:23:05Z</dcterms:modified>
</cp:coreProperties>
</file>