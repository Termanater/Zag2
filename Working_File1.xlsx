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A9C9D36A-935F-4398-9182-6571E7E7C17C}" xr6:coauthVersionLast="47" xr6:coauthVersionMax="47" xr10:uidLastSave="{00000000-0000-0000-0000-000000000000}"/>
  <bookViews>
    <workbookView xWindow="-16320" yWindow="-11010" windowWidth="16440" windowHeight="28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F5" i="1"/>
  <c r="G4" i="1"/>
  <c r="G3" i="1" s="1"/>
  <c r="F4" i="1"/>
  <c r="F3" i="1"/>
</calcChain>
</file>

<file path=xl/sharedStrings.xml><?xml version="1.0" encoding="utf-8"?>
<sst xmlns="http://schemas.openxmlformats.org/spreadsheetml/2006/main" count="208" uniqueCount="149">
  <si>
    <t>diff</t>
  </si>
  <si>
    <t>stmt</t>
  </si>
  <si>
    <t>date</t>
  </si>
  <si>
    <t>description</t>
  </si>
  <si>
    <t>Total</t>
  </si>
  <si>
    <t>Check Numb</t>
  </si>
  <si>
    <t>Credit</t>
  </si>
  <si>
    <t xml:space="preserve">Debit </t>
  </si>
  <si>
    <t>DEPOSIT</t>
  </si>
  <si>
    <t>MERCHANT BANKCD DEPOSIT 496008246886</t>
  </si>
  <si>
    <t>S PLASTICS ACH</t>
  </si>
  <si>
    <t>Receivable Citrus Valley Ma 016AMQORU3TXEZ9 Citrus Valley Ma Bill.com Inv Q24617</t>
  </si>
  <si>
    <t>S MACHINING ACH</t>
  </si>
  <si>
    <t>Check 9246</t>
  </si>
  <si>
    <t>Check 9259</t>
  </si>
  <si>
    <t>Check 9260</t>
  </si>
  <si>
    <t>Check 9261</t>
  </si>
  <si>
    <t>Check 9262</t>
  </si>
  <si>
    <t>Check 9263</t>
  </si>
  <si>
    <t>Check 9264</t>
  </si>
  <si>
    <t>Check 9265</t>
  </si>
  <si>
    <t>Check 9266</t>
  </si>
  <si>
    <t>Check 9267</t>
  </si>
  <si>
    <t>Check 9268</t>
  </si>
  <si>
    <t>Check 9269</t>
  </si>
  <si>
    <t>Check 9270</t>
  </si>
  <si>
    <t>Check 9271</t>
  </si>
  <si>
    <t>Check 9272</t>
  </si>
  <si>
    <t>Check 9273</t>
  </si>
  <si>
    <t>Check 9274</t>
  </si>
  <si>
    <t>Check 9275</t>
  </si>
  <si>
    <t>Check 9276</t>
  </si>
  <si>
    <t>Check 9277</t>
  </si>
  <si>
    <t>Check 9278</t>
  </si>
  <si>
    <t>Check 9279</t>
  </si>
  <si>
    <t>Check 9280</t>
  </si>
  <si>
    <t>Check 9281</t>
  </si>
  <si>
    <t>Check 9282</t>
  </si>
  <si>
    <t>Check 9283</t>
  </si>
  <si>
    <t>Check 26157</t>
  </si>
  <si>
    <t>Check 26158</t>
  </si>
  <si>
    <t>Check 26159</t>
  </si>
  <si>
    <t>Check 26160</t>
  </si>
  <si>
    <t>Check 26161</t>
  </si>
  <si>
    <t>Check 26163</t>
  </si>
  <si>
    <t>Check 26164</t>
  </si>
  <si>
    <t>Check 26165</t>
  </si>
  <si>
    <t>Check 26166</t>
  </si>
  <si>
    <t>Check 26167</t>
  </si>
  <si>
    <t>Check 26168</t>
  </si>
  <si>
    <t>Check 26169</t>
  </si>
  <si>
    <t>Check 26170</t>
  </si>
  <si>
    <t>Check 26171</t>
  </si>
  <si>
    <t>Check 26172</t>
  </si>
  <si>
    <t>Check 26173</t>
  </si>
  <si>
    <t>Check 26174</t>
  </si>
  <si>
    <t>Check 26175</t>
  </si>
  <si>
    <t>Check 26176</t>
  </si>
  <si>
    <t>Check 26177</t>
  </si>
  <si>
    <t>Check 26178</t>
  </si>
  <si>
    <t>Check 26179</t>
  </si>
  <si>
    <t>Check 26180</t>
  </si>
  <si>
    <t>Check 26181</t>
  </si>
  <si>
    <t>Check 26182</t>
  </si>
  <si>
    <t>Check 26185</t>
  </si>
  <si>
    <t>Check 26186</t>
  </si>
  <si>
    <t>Check 26188</t>
  </si>
  <si>
    <t>Check 26189</t>
  </si>
  <si>
    <t>Check 26190</t>
  </si>
  <si>
    <t>Check 9223</t>
  </si>
  <si>
    <t>Check 9227</t>
  </si>
  <si>
    <t>Check 9228</t>
  </si>
  <si>
    <t>Check 9229</t>
  </si>
  <si>
    <t>Check 9230</t>
  </si>
  <si>
    <t>Check 9231</t>
  </si>
  <si>
    <t>Check 9232</t>
  </si>
  <si>
    <t>Check 9234</t>
  </si>
  <si>
    <t>Check 9235</t>
  </si>
  <si>
    <t>Check 9236</t>
  </si>
  <si>
    <t>Check 9237</t>
  </si>
  <si>
    <t>Check 9238</t>
  </si>
  <si>
    <t>Check 9239</t>
  </si>
  <si>
    <t>Check 9240</t>
  </si>
  <si>
    <t>Check 9241</t>
  </si>
  <si>
    <t>Check 9242</t>
  </si>
  <si>
    <t>Check 9243</t>
  </si>
  <si>
    <t>Check 9244</t>
  </si>
  <si>
    <t>Check 9245</t>
  </si>
  <si>
    <t>Check 9247</t>
  </si>
  <si>
    <t>Check 9248</t>
  </si>
  <si>
    <t>Check 9249</t>
  </si>
  <si>
    <t>Check 9250</t>
  </si>
  <si>
    <t>Check 9251</t>
  </si>
  <si>
    <t>Check 9252</t>
  </si>
  <si>
    <t>Check 9253</t>
  </si>
  <si>
    <t>Check 9254</t>
  </si>
  <si>
    <t>Check 9255</t>
  </si>
  <si>
    <t>Check 9256</t>
  </si>
  <si>
    <t>Check 9257</t>
  </si>
  <si>
    <t>Check 9258</t>
  </si>
  <si>
    <t>Check 26132</t>
  </si>
  <si>
    <t>Check 26133</t>
  </si>
  <si>
    <t>Check 26134</t>
  </si>
  <si>
    <t>Check 26135</t>
  </si>
  <si>
    <t>Check 26136</t>
  </si>
  <si>
    <t>Check 26137</t>
  </si>
  <si>
    <t>Check 26138</t>
  </si>
  <si>
    <t>Check 26139</t>
  </si>
  <si>
    <t>Check 26140</t>
  </si>
  <si>
    <t>Check 26141</t>
  </si>
  <si>
    <t>Check 26142</t>
  </si>
  <si>
    <t>Check 26143</t>
  </si>
  <si>
    <t>Check 26144</t>
  </si>
  <si>
    <t>Check 26145</t>
  </si>
  <si>
    <t>Check 26146</t>
  </si>
  <si>
    <t>Check 26147</t>
  </si>
  <si>
    <t>Check 26148</t>
  </si>
  <si>
    <t>Check 26149</t>
  </si>
  <si>
    <t>Check 26150</t>
  </si>
  <si>
    <t>Check 26151</t>
  </si>
  <si>
    <t>Check 26152</t>
  </si>
  <si>
    <t>Check 26153</t>
  </si>
  <si>
    <t>Check 26154</t>
  </si>
  <si>
    <t>Check 26155</t>
  </si>
  <si>
    <t>Check 26156</t>
  </si>
  <si>
    <t>MERCHANT BANKCD FEE 496008246886</t>
  </si>
  <si>
    <t>PRIMERICA LIFE INS. PREM XXXXXX5966I</t>
  </si>
  <si>
    <t>FIRST INSURANCE INSURANCE 900-103243994</t>
  </si>
  <si>
    <t>MERCURY INS PAYMENT 1000552314-8057</t>
  </si>
  <si>
    <t>FLEETCOR FUNDING BT0702 000000328970671</t>
  </si>
  <si>
    <t>MERCHANT BANKCD DISCOUNT 496008246886</t>
  </si>
  <si>
    <t>PAYROLLTAX TAX DEBIT XXXXX7653</t>
  </si>
  <si>
    <t>CITI CARD ONLINE PAYMENT 431755330658289</t>
  </si>
  <si>
    <t>ICW GROUP WEB PAY 2768312</t>
  </si>
  <si>
    <t>T-MOBILE.COM PCS SVC 8099352</t>
  </si>
  <si>
    <t>CHOICE ADMIN ONLIN PMNT 78961252</t>
  </si>
  <si>
    <t>CITI CARD ONLINE PAYMENT 431786445568263</t>
  </si>
  <si>
    <t>CA DEPT TAX FEE CDTFA EPMT 21716976</t>
  </si>
  <si>
    <t>STOP PAYMENT ORDER/RENEWAL</t>
  </si>
  <si>
    <t>482426 OLB TRANSFER BUSINESS SAVINGS XXXXX59128</t>
  </si>
  <si>
    <t>MERCURY INS PAYMENT 1000553283-6801</t>
  </si>
  <si>
    <t>FLEETCOR FUNDING BT0804 000000331599516</t>
  </si>
  <si>
    <t>WEX INC FLEET DEBI 9100008253621</t>
  </si>
  <si>
    <t>CA DEPT TAX FEE CDTFA EPMT 21904871</t>
  </si>
  <si>
    <t>ICW GROUP WEB PAY 2827591</t>
  </si>
  <si>
    <t>CHOICE ADMIN ONLIN PMNT 79439936</t>
  </si>
  <si>
    <t>CITI PAYMENT PAYMENT 201746560888824</t>
  </si>
  <si>
    <t>CA DEPT TAX FEE CDTFA EPMT 22170078</t>
  </si>
  <si>
    <t>CURRENCY DEPOSITED/FURNISHED JULY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</si>
</sst>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234"/>
  <sheetViews>
    <sheetView tabSelected="1" workbookViewId="0">
      <selection activeCell="D52" sqref="D52"/>
    </sheetView>
  </sheetViews>
  <sheetFormatPr defaultRowHeight="14.5" x14ac:dyDescent="0.35"/>
  <cols>
    <col min="2" max="2" width="10.1796875" style="1" bestFit="1" customWidth="1"/>
    <col min="4" max="4" width="80.1796875" bestFit="1" customWidth="1"/>
    <col min="6" max="6" width="13.1796875" style="2" bestFit="1" customWidth="1"/>
    <col min="7" max="7" width="13.90625" style="2" bestFit="1" customWidth="1"/>
  </cols>
  <sheetData>
    <row r="3" spans="2:7" x14ac:dyDescent="0.35">
      <c r="E3" t="s">
        <v>0</v>
      </c>
      <c r="F3" s="2">
        <f t="shared" ref="F3" si="0">F5-F4</f>
        <v>0</v>
      </c>
      <c r="G3" s="2">
        <f>G5-G4</f>
        <v>0</v>
      </c>
    </row>
    <row r="4" spans="2:7" x14ac:dyDescent="0.35">
      <c r="E4" t="s">
        <v>1</v>
      </c>
      <c r="F4" s="2">
        <f>176420.36+107316.01</f>
        <v>283736.37</v>
      </c>
      <c r="G4" s="2">
        <f>121669.95+164782.7</f>
        <v>286452.65000000002</v>
      </c>
    </row>
    <row r="5" spans="2:7" x14ac:dyDescent="0.35">
      <c r="E5" t="s">
        <v>4</v>
      </c>
      <c r="F5" s="2">
        <f>SUM(F8:F1048576)</f>
        <v>283736.37</v>
      </c>
      <c r="G5" s="2">
        <f>SUM(G8:G1048576)</f>
        <v>286452.64999999997</v>
      </c>
    </row>
    <row r="7" spans="2:7" x14ac:dyDescent="0.35">
      <c r="B7" s="1" t="s">
        <v>2</v>
      </c>
      <c r="D7" t="s">
        <v>3</v>
      </c>
      <c r="E7" t="s">
        <v>5</v>
      </c>
      <c r="F7" s="2" t="s">
        <v>6</v>
      </c>
      <c r="G7" s="2" t="s">
        <v>7</v>
      </c>
    </row>
    <row r="8" spans="2:7" x14ac:dyDescent="0.35">
      <c r="B8" s="1">
        <v>45839</v>
      </c>
      <c r="D8" t="s">
        <v>8</v>
      </c>
      <c r="F8" s="2">
        <v>17936</v>
      </c>
      <c r="G8" s="2">
        <v>0</v>
      </c>
    </row>
    <row r="9" spans="2:7" x14ac:dyDescent="0.35">
      <c r="B9" s="1">
        <v>45840</v>
      </c>
      <c r="D9" t="s">
        <v>8</v>
      </c>
      <c r="F9" s="2">
        <v>18244</v>
      </c>
      <c r="G9" s="2">
        <v>0</v>
      </c>
    </row>
    <row r="10" spans="2:7" x14ac:dyDescent="0.35">
      <c r="B10" s="1">
        <v>45853</v>
      </c>
      <c r="D10" t="s">
        <v>8</v>
      </c>
      <c r="F10" s="2">
        <v>18038.5</v>
      </c>
      <c r="G10" s="2">
        <v>0</v>
      </c>
    </row>
    <row r="11" spans="2:7" x14ac:dyDescent="0.35">
      <c r="B11" s="1">
        <v>45854</v>
      </c>
      <c r="D11" t="s">
        <v>8</v>
      </c>
      <c r="F11" s="2">
        <v>16253</v>
      </c>
      <c r="G11" s="2">
        <v>0</v>
      </c>
    </row>
    <row r="12" spans="2:7" x14ac:dyDescent="0.35">
      <c r="B12" s="1">
        <v>45863</v>
      </c>
      <c r="D12" t="s">
        <v>8</v>
      </c>
      <c r="F12" s="2">
        <v>46020</v>
      </c>
      <c r="G12" s="2">
        <v>0</v>
      </c>
    </row>
    <row r="13" spans="2:7" x14ac:dyDescent="0.35">
      <c r="B13" s="1">
        <v>45869</v>
      </c>
      <c r="D13" t="s">
        <v>8</v>
      </c>
      <c r="F13" s="2">
        <v>28940</v>
      </c>
      <c r="G13" s="2">
        <v>0</v>
      </c>
    </row>
    <row r="15" spans="2:7" x14ac:dyDescent="0.35">
      <c r="B15" s="1">
        <v>45839</v>
      </c>
      <c r="D15" t="s">
        <v>9</v>
      </c>
      <c r="F15" s="2">
        <v>430</v>
      </c>
      <c r="G15" s="2">
        <v>0</v>
      </c>
    </row>
    <row r="16" spans="2:7" x14ac:dyDescent="0.35">
      <c r="B16" s="1">
        <v>45841</v>
      </c>
      <c r="D16" t="s">
        <v>9</v>
      </c>
      <c r="F16" s="2">
        <v>971</v>
      </c>
      <c r="G16" s="2">
        <v>0</v>
      </c>
    </row>
    <row r="17" spans="2:7" x14ac:dyDescent="0.35">
      <c r="B17" s="1">
        <v>45845</v>
      </c>
      <c r="D17" t="s">
        <v>9</v>
      </c>
      <c r="F17" s="2">
        <v>4493</v>
      </c>
      <c r="G17" s="2">
        <v>0</v>
      </c>
    </row>
    <row r="18" spans="2:7" x14ac:dyDescent="0.35">
      <c r="B18" s="1">
        <v>45847</v>
      </c>
      <c r="D18" t="s">
        <v>9</v>
      </c>
      <c r="F18" s="2">
        <v>450</v>
      </c>
      <c r="G18" s="2">
        <v>0</v>
      </c>
    </row>
    <row r="19" spans="2:7" x14ac:dyDescent="0.35">
      <c r="B19" s="1">
        <v>45848</v>
      </c>
      <c r="D19" t="s">
        <v>9</v>
      </c>
      <c r="F19" s="2">
        <v>5195</v>
      </c>
      <c r="G19" s="2">
        <v>0</v>
      </c>
    </row>
    <row r="20" spans="2:7" x14ac:dyDescent="0.35">
      <c r="B20" s="1">
        <v>45852</v>
      </c>
      <c r="D20" t="s">
        <v>9</v>
      </c>
      <c r="F20" s="2">
        <v>1393</v>
      </c>
      <c r="G20" s="2">
        <v>0</v>
      </c>
    </row>
    <row r="21" spans="2:7" x14ac:dyDescent="0.35">
      <c r="B21" s="1">
        <v>45853</v>
      </c>
      <c r="D21" t="s">
        <v>10</v>
      </c>
      <c r="F21" s="2">
        <v>225</v>
      </c>
      <c r="G21" s="2">
        <v>0</v>
      </c>
    </row>
    <row r="22" spans="2:7" x14ac:dyDescent="0.35">
      <c r="B22" s="1">
        <v>45853</v>
      </c>
      <c r="D22" t="s">
        <v>9</v>
      </c>
      <c r="F22" s="2">
        <v>767</v>
      </c>
      <c r="G22" s="2">
        <v>0</v>
      </c>
    </row>
    <row r="23" spans="2:7" x14ac:dyDescent="0.35">
      <c r="B23" s="1">
        <v>45854</v>
      </c>
      <c r="D23" t="s">
        <v>9</v>
      </c>
      <c r="F23" s="2">
        <v>99</v>
      </c>
      <c r="G23" s="2">
        <v>0</v>
      </c>
    </row>
    <row r="24" spans="2:7" x14ac:dyDescent="0.35">
      <c r="B24" s="1">
        <v>45859</v>
      </c>
      <c r="D24" t="s">
        <v>9</v>
      </c>
      <c r="F24" s="2">
        <v>99</v>
      </c>
      <c r="G24" s="2">
        <v>0</v>
      </c>
    </row>
    <row r="25" spans="2:7" x14ac:dyDescent="0.35">
      <c r="B25" s="1">
        <v>45860</v>
      </c>
      <c r="D25" t="s">
        <v>9</v>
      </c>
      <c r="F25" s="2">
        <v>110</v>
      </c>
      <c r="G25" s="2">
        <v>0</v>
      </c>
    </row>
    <row r="26" spans="2:7" x14ac:dyDescent="0.35">
      <c r="B26" s="1">
        <v>45861</v>
      </c>
      <c r="D26" t="s">
        <v>9</v>
      </c>
      <c r="F26" s="2">
        <v>550</v>
      </c>
      <c r="G26" s="2">
        <v>0</v>
      </c>
    </row>
    <row r="27" spans="2:7" x14ac:dyDescent="0.35">
      <c r="B27" s="1">
        <v>45862</v>
      </c>
      <c r="D27" t="s">
        <v>9</v>
      </c>
      <c r="F27" s="2">
        <v>170</v>
      </c>
      <c r="G27" s="2">
        <v>0</v>
      </c>
    </row>
    <row r="28" spans="2:7" x14ac:dyDescent="0.35">
      <c r="B28" s="1">
        <v>45863</v>
      </c>
      <c r="D28" t="s">
        <v>10</v>
      </c>
      <c r="F28" s="2">
        <v>189</v>
      </c>
      <c r="G28" s="2">
        <v>0</v>
      </c>
    </row>
    <row r="29" spans="2:7" x14ac:dyDescent="0.35">
      <c r="B29" s="1">
        <v>45863</v>
      </c>
      <c r="D29" t="s">
        <v>9</v>
      </c>
      <c r="F29" s="2">
        <v>2477</v>
      </c>
      <c r="G29" s="2">
        <v>0</v>
      </c>
    </row>
    <row r="30" spans="2:7" x14ac:dyDescent="0.35">
      <c r="B30" s="1">
        <v>45866</v>
      </c>
      <c r="D30" t="s">
        <v>9</v>
      </c>
      <c r="F30" s="2">
        <v>13131.86</v>
      </c>
      <c r="G30" s="2">
        <v>0</v>
      </c>
    </row>
    <row r="31" spans="2:7" x14ac:dyDescent="0.35">
      <c r="B31" s="1">
        <v>45867</v>
      </c>
      <c r="D31" t="s">
        <v>9</v>
      </c>
      <c r="F31" s="2">
        <v>99</v>
      </c>
      <c r="G31" s="2">
        <v>0</v>
      </c>
    </row>
    <row r="32" spans="2:7" x14ac:dyDescent="0.35">
      <c r="B32" s="1">
        <v>45868</v>
      </c>
      <c r="D32" t="s">
        <v>9</v>
      </c>
      <c r="F32" s="2">
        <v>140</v>
      </c>
      <c r="G32" s="2">
        <v>0</v>
      </c>
    </row>
    <row r="33" spans="2:7" x14ac:dyDescent="0.35">
      <c r="F33" s="2">
        <v>0</v>
      </c>
      <c r="G33" s="2">
        <v>0</v>
      </c>
    </row>
    <row r="34" spans="2:7" x14ac:dyDescent="0.35">
      <c r="F34" s="2">
        <v>0</v>
      </c>
      <c r="G34" s="2">
        <v>0</v>
      </c>
    </row>
    <row r="35" spans="2:7" x14ac:dyDescent="0.35">
      <c r="F35" s="2">
        <v>0</v>
      </c>
      <c r="G35" s="2">
        <v>0</v>
      </c>
    </row>
    <row r="36" spans="2:7" x14ac:dyDescent="0.35">
      <c r="F36" s="2">
        <v>0</v>
      </c>
      <c r="G36" s="2">
        <v>0</v>
      </c>
    </row>
    <row r="37" spans="2:7" x14ac:dyDescent="0.35">
      <c r="F37" s="2">
        <v>0</v>
      </c>
      <c r="G37" s="2">
        <v>0</v>
      </c>
    </row>
    <row r="38" spans="2:7" x14ac:dyDescent="0.35">
      <c r="B38" s="1">
        <v>45875</v>
      </c>
      <c r="D38" t="s">
        <v>8</v>
      </c>
      <c r="F38" s="2">
        <v>22452.76</v>
      </c>
      <c r="G38" s="2">
        <v>0</v>
      </c>
    </row>
    <row r="39" spans="2:7" x14ac:dyDescent="0.35">
      <c r="B39" s="1">
        <v>45882</v>
      </c>
      <c r="D39" t="s">
        <v>8</v>
      </c>
      <c r="F39" s="2">
        <v>18068</v>
      </c>
      <c r="G39" s="2">
        <v>0</v>
      </c>
    </row>
    <row r="40" spans="2:7" x14ac:dyDescent="0.35">
      <c r="B40" s="1">
        <v>45896</v>
      </c>
      <c r="D40" t="s">
        <v>8</v>
      </c>
      <c r="F40" s="2">
        <v>11339.25</v>
      </c>
      <c r="G40" s="2">
        <v>0</v>
      </c>
    </row>
    <row r="46" spans="2:7" x14ac:dyDescent="0.35">
      <c r="B46" s="1">
        <v>45870</v>
      </c>
      <c r="D46" t="s">
        <v>9</v>
      </c>
      <c r="F46" s="2">
        <v>189</v>
      </c>
      <c r="G46" s="2">
        <v>0</v>
      </c>
    </row>
    <row r="47" spans="2:7" x14ac:dyDescent="0.35">
      <c r="B47" s="1">
        <v>45873</v>
      </c>
      <c r="D47" t="s">
        <v>9</v>
      </c>
      <c r="F47" s="2">
        <v>130</v>
      </c>
      <c r="G47" s="2">
        <v>0</v>
      </c>
    </row>
    <row r="48" spans="2:7" x14ac:dyDescent="0.35">
      <c r="B48" s="1">
        <v>45874</v>
      </c>
      <c r="D48" t="s">
        <v>9</v>
      </c>
      <c r="F48" s="2">
        <v>982.5</v>
      </c>
      <c r="G48" s="2">
        <v>0</v>
      </c>
    </row>
    <row r="49" spans="2:7" x14ac:dyDescent="0.35">
      <c r="B49" s="1">
        <v>45875</v>
      </c>
      <c r="D49" t="s">
        <v>9</v>
      </c>
      <c r="F49" s="2">
        <v>529</v>
      </c>
      <c r="G49" s="2">
        <v>0</v>
      </c>
    </row>
    <row r="50" spans="2:7" x14ac:dyDescent="0.35">
      <c r="B50" s="1">
        <v>45877</v>
      </c>
      <c r="D50" t="s">
        <v>9</v>
      </c>
      <c r="F50" s="2">
        <v>466.5</v>
      </c>
      <c r="G50" s="2">
        <v>0</v>
      </c>
    </row>
    <row r="51" spans="2:7" x14ac:dyDescent="0.35">
      <c r="B51" s="1">
        <v>45880</v>
      </c>
      <c r="D51" t="s">
        <v>9</v>
      </c>
      <c r="F51" s="2">
        <v>755</v>
      </c>
      <c r="G51" s="2">
        <v>0</v>
      </c>
    </row>
    <row r="52" spans="2:7" x14ac:dyDescent="0.35">
      <c r="B52" s="1">
        <v>45881</v>
      </c>
      <c r="D52" t="s">
        <v>9</v>
      </c>
      <c r="F52" s="2">
        <v>852</v>
      </c>
      <c r="G52" s="2">
        <v>0</v>
      </c>
    </row>
    <row r="53" spans="2:7" x14ac:dyDescent="0.35">
      <c r="B53" s="1">
        <v>45882</v>
      </c>
      <c r="D53" t="s">
        <v>9</v>
      </c>
      <c r="F53" s="2">
        <v>6161</v>
      </c>
      <c r="G53" s="2">
        <v>0</v>
      </c>
    </row>
    <row r="54" spans="2:7" x14ac:dyDescent="0.35">
      <c r="B54" s="1">
        <v>45883</v>
      </c>
      <c r="D54" t="s">
        <v>9</v>
      </c>
      <c r="F54" s="2">
        <v>5000</v>
      </c>
      <c r="G54" s="2">
        <v>0</v>
      </c>
    </row>
    <row r="55" spans="2:7" x14ac:dyDescent="0.35">
      <c r="B55" s="1">
        <v>45884</v>
      </c>
      <c r="D55" t="s">
        <v>9</v>
      </c>
      <c r="F55" s="2">
        <v>6043</v>
      </c>
      <c r="G55" s="2">
        <v>0</v>
      </c>
    </row>
    <row r="56" spans="2:7" x14ac:dyDescent="0.35">
      <c r="B56" s="1">
        <v>45887</v>
      </c>
      <c r="D56" t="s">
        <v>9</v>
      </c>
      <c r="F56" s="2">
        <v>9100</v>
      </c>
      <c r="G56" s="2">
        <v>0</v>
      </c>
    </row>
    <row r="57" spans="2:7" x14ac:dyDescent="0.35">
      <c r="B57" s="1">
        <v>45888</v>
      </c>
      <c r="D57" t="s">
        <v>11</v>
      </c>
      <c r="F57" s="2">
        <v>555</v>
      </c>
    </row>
    <row r="58" spans="2:7" x14ac:dyDescent="0.35">
      <c r="B58" s="1">
        <v>45889</v>
      </c>
      <c r="D58" t="s">
        <v>9</v>
      </c>
      <c r="F58" s="2">
        <v>562.5</v>
      </c>
      <c r="G58" s="2">
        <v>0</v>
      </c>
    </row>
    <row r="59" spans="2:7" x14ac:dyDescent="0.35">
      <c r="B59" s="1">
        <v>45890</v>
      </c>
      <c r="D59" t="s">
        <v>9</v>
      </c>
      <c r="F59" s="2">
        <v>4175.5</v>
      </c>
      <c r="G59" s="2">
        <v>0</v>
      </c>
    </row>
    <row r="60" spans="2:7" x14ac:dyDescent="0.35">
      <c r="B60" s="1">
        <v>45894</v>
      </c>
      <c r="D60" t="s">
        <v>9</v>
      </c>
      <c r="F60" s="2">
        <v>416</v>
      </c>
      <c r="G60" s="2">
        <v>0</v>
      </c>
    </row>
    <row r="61" spans="2:7" x14ac:dyDescent="0.35">
      <c r="B61" s="1">
        <v>45894</v>
      </c>
      <c r="D61" t="s">
        <v>12</v>
      </c>
      <c r="F61" s="2">
        <v>650</v>
      </c>
      <c r="G61" s="2">
        <v>0</v>
      </c>
    </row>
    <row r="62" spans="2:7" x14ac:dyDescent="0.35">
      <c r="B62" s="1">
        <v>45894</v>
      </c>
      <c r="D62" t="s">
        <v>10</v>
      </c>
      <c r="F62" s="2">
        <v>440</v>
      </c>
      <c r="G62" s="2">
        <v>0</v>
      </c>
    </row>
    <row r="63" spans="2:7" x14ac:dyDescent="0.35">
      <c r="B63" s="1">
        <v>45894</v>
      </c>
      <c r="D63" t="s">
        <v>9</v>
      </c>
      <c r="F63" s="2">
        <v>1799</v>
      </c>
      <c r="G63" s="2">
        <v>0</v>
      </c>
    </row>
    <row r="64" spans="2:7" x14ac:dyDescent="0.35">
      <c r="B64" s="1">
        <v>45896</v>
      </c>
      <c r="D64" t="s">
        <v>9</v>
      </c>
      <c r="F64" s="2">
        <v>13065</v>
      </c>
      <c r="G64" s="2">
        <v>0</v>
      </c>
    </row>
    <row r="65" spans="2:7" x14ac:dyDescent="0.35">
      <c r="B65" s="1">
        <v>45897</v>
      </c>
      <c r="D65" t="s">
        <v>9</v>
      </c>
      <c r="F65" s="2">
        <v>585</v>
      </c>
      <c r="G65" s="2">
        <v>0</v>
      </c>
    </row>
    <row r="66" spans="2:7" x14ac:dyDescent="0.35">
      <c r="B66" s="1">
        <v>45898</v>
      </c>
      <c r="D66" t="s">
        <v>9</v>
      </c>
      <c r="F66" s="2">
        <v>3000</v>
      </c>
      <c r="G66" s="2">
        <v>0</v>
      </c>
    </row>
    <row r="71" spans="2:7" x14ac:dyDescent="0.35">
      <c r="B71" s="1">
        <v>45873</v>
      </c>
      <c r="D71" t="s">
        <v>13</v>
      </c>
      <c r="E71">
        <v>9246</v>
      </c>
      <c r="F71" s="2">
        <v>0</v>
      </c>
      <c r="G71" s="2">
        <v>429</v>
      </c>
    </row>
    <row r="72" spans="2:7" x14ac:dyDescent="0.35">
      <c r="B72" s="1">
        <v>45870</v>
      </c>
      <c r="D72" t="s">
        <v>14</v>
      </c>
      <c r="E72">
        <v>9259</v>
      </c>
      <c r="F72" s="2">
        <v>0</v>
      </c>
      <c r="G72" s="2">
        <v>16291.84</v>
      </c>
    </row>
    <row r="73" spans="2:7" x14ac:dyDescent="0.35">
      <c r="B73" s="1">
        <v>45870</v>
      </c>
      <c r="D73" t="s">
        <v>15</v>
      </c>
      <c r="E73">
        <v>9260</v>
      </c>
      <c r="F73" s="2">
        <v>0</v>
      </c>
      <c r="G73" s="2">
        <v>548.91999999999996</v>
      </c>
    </row>
    <row r="74" spans="2:7" x14ac:dyDescent="0.35">
      <c r="B74" s="1">
        <v>45870</v>
      </c>
      <c r="D74" t="s">
        <v>16</v>
      </c>
      <c r="E74">
        <v>9261</v>
      </c>
      <c r="F74" s="2">
        <v>0</v>
      </c>
      <c r="G74" s="2">
        <v>1068.52</v>
      </c>
    </row>
    <row r="75" spans="2:7" x14ac:dyDescent="0.35">
      <c r="B75" s="1">
        <v>45874</v>
      </c>
      <c r="D75" t="s">
        <v>17</v>
      </c>
      <c r="E75">
        <v>9262</v>
      </c>
      <c r="F75" s="2">
        <v>0</v>
      </c>
      <c r="G75" s="2">
        <v>2160</v>
      </c>
    </row>
    <row r="76" spans="2:7" x14ac:dyDescent="0.35">
      <c r="B76" s="1">
        <v>45874</v>
      </c>
      <c r="D76" t="s">
        <v>18</v>
      </c>
      <c r="E76">
        <v>9263</v>
      </c>
      <c r="F76" s="2">
        <v>0</v>
      </c>
      <c r="G76" s="2">
        <v>4650</v>
      </c>
    </row>
    <row r="77" spans="2:7" x14ac:dyDescent="0.35">
      <c r="B77" s="1">
        <v>45876</v>
      </c>
      <c r="D77" t="s">
        <v>19</v>
      </c>
      <c r="E77">
        <v>9264</v>
      </c>
      <c r="F77" s="2">
        <v>0</v>
      </c>
      <c r="G77" s="2">
        <v>18548.63</v>
      </c>
    </row>
    <row r="78" spans="2:7" x14ac:dyDescent="0.35">
      <c r="B78" s="1">
        <v>45876</v>
      </c>
      <c r="D78" t="s">
        <v>20</v>
      </c>
      <c r="E78">
        <v>9265</v>
      </c>
      <c r="F78" s="2">
        <v>0</v>
      </c>
      <c r="G78" s="2">
        <v>1097.98</v>
      </c>
    </row>
    <row r="79" spans="2:7" x14ac:dyDescent="0.35">
      <c r="B79" s="1">
        <v>45876</v>
      </c>
      <c r="D79" t="s">
        <v>21</v>
      </c>
      <c r="E79">
        <v>9266</v>
      </c>
      <c r="F79" s="2">
        <v>0</v>
      </c>
      <c r="G79" s="2">
        <v>400</v>
      </c>
    </row>
    <row r="80" spans="2:7" x14ac:dyDescent="0.35">
      <c r="B80" s="1">
        <v>45888</v>
      </c>
      <c r="D80" t="s">
        <v>22</v>
      </c>
      <c r="E80">
        <v>9267</v>
      </c>
      <c r="F80" s="2">
        <v>0</v>
      </c>
      <c r="G80" s="2">
        <v>7814.2</v>
      </c>
    </row>
    <row r="81" spans="2:7" x14ac:dyDescent="0.35">
      <c r="B81" s="1">
        <v>45877</v>
      </c>
      <c r="D81" t="s">
        <v>23</v>
      </c>
      <c r="E81">
        <v>9268</v>
      </c>
      <c r="F81" s="2">
        <v>0</v>
      </c>
      <c r="G81" s="2">
        <v>529.75</v>
      </c>
    </row>
    <row r="82" spans="2:7" x14ac:dyDescent="0.35">
      <c r="B82" s="1">
        <v>45890</v>
      </c>
      <c r="D82" t="s">
        <v>24</v>
      </c>
      <c r="E82">
        <v>9269</v>
      </c>
      <c r="F82" s="2">
        <v>0</v>
      </c>
      <c r="G82" s="2">
        <v>550</v>
      </c>
    </row>
    <row r="83" spans="2:7" x14ac:dyDescent="0.35">
      <c r="B83" s="1">
        <v>45888</v>
      </c>
      <c r="D83" t="s">
        <v>25</v>
      </c>
      <c r="E83">
        <v>9270</v>
      </c>
      <c r="F83" s="2">
        <v>0</v>
      </c>
      <c r="G83" s="2">
        <v>223.06</v>
      </c>
    </row>
    <row r="84" spans="2:7" x14ac:dyDescent="0.35">
      <c r="B84" s="1">
        <v>45888</v>
      </c>
      <c r="D84" t="s">
        <v>26</v>
      </c>
      <c r="E84">
        <v>9271</v>
      </c>
      <c r="F84" s="2">
        <v>0</v>
      </c>
      <c r="G84" s="2">
        <v>232.1</v>
      </c>
    </row>
    <row r="85" spans="2:7" x14ac:dyDescent="0.35">
      <c r="B85" s="1">
        <v>45889</v>
      </c>
      <c r="D85" t="s">
        <v>27</v>
      </c>
      <c r="E85">
        <v>9272</v>
      </c>
      <c r="F85" s="2">
        <v>0</v>
      </c>
      <c r="G85" s="2">
        <v>113.48</v>
      </c>
    </row>
    <row r="86" spans="2:7" x14ac:dyDescent="0.35">
      <c r="B86" s="1">
        <v>45888</v>
      </c>
      <c r="D86" t="s">
        <v>28</v>
      </c>
      <c r="E86">
        <v>9273</v>
      </c>
      <c r="F86" s="2">
        <v>0</v>
      </c>
      <c r="G86" s="2">
        <v>156.25</v>
      </c>
    </row>
    <row r="87" spans="2:7" x14ac:dyDescent="0.35">
      <c r="B87" s="1">
        <v>45889</v>
      </c>
      <c r="D87" t="s">
        <v>29</v>
      </c>
      <c r="E87">
        <v>9274</v>
      </c>
      <c r="F87" s="2">
        <v>0</v>
      </c>
      <c r="G87" s="2">
        <v>225</v>
      </c>
    </row>
    <row r="88" spans="2:7" x14ac:dyDescent="0.35">
      <c r="B88" s="1">
        <v>45887</v>
      </c>
      <c r="D88" t="s">
        <v>30</v>
      </c>
      <c r="E88">
        <v>9275</v>
      </c>
      <c r="F88" s="2">
        <v>0</v>
      </c>
      <c r="G88" s="2">
        <v>580</v>
      </c>
    </row>
    <row r="89" spans="2:7" x14ac:dyDescent="0.35">
      <c r="B89" s="1">
        <v>45888</v>
      </c>
      <c r="D89" t="s">
        <v>31</v>
      </c>
      <c r="E89">
        <v>9276</v>
      </c>
      <c r="F89" s="2">
        <v>0</v>
      </c>
      <c r="G89" s="2">
        <v>10778.4</v>
      </c>
    </row>
    <row r="90" spans="2:7" x14ac:dyDescent="0.35">
      <c r="B90" s="1">
        <v>45888</v>
      </c>
      <c r="D90" t="s">
        <v>32</v>
      </c>
      <c r="E90">
        <v>9277</v>
      </c>
      <c r="F90" s="2">
        <v>0</v>
      </c>
      <c r="G90" s="2">
        <v>548.41999999999996</v>
      </c>
    </row>
    <row r="91" spans="2:7" x14ac:dyDescent="0.35">
      <c r="B91" s="1">
        <v>45889</v>
      </c>
      <c r="D91" t="s">
        <v>33</v>
      </c>
      <c r="E91">
        <v>9278</v>
      </c>
      <c r="F91" s="2">
        <v>0</v>
      </c>
      <c r="G91" s="2">
        <v>1163.71</v>
      </c>
    </row>
    <row r="92" spans="2:7" x14ac:dyDescent="0.35">
      <c r="B92" s="1">
        <v>45895</v>
      </c>
      <c r="D92" t="s">
        <v>34</v>
      </c>
      <c r="E92">
        <v>9279</v>
      </c>
      <c r="F92" s="2">
        <v>0</v>
      </c>
      <c r="G92" s="2">
        <v>13716.1</v>
      </c>
    </row>
    <row r="93" spans="2:7" x14ac:dyDescent="0.35">
      <c r="B93" s="1">
        <v>45894</v>
      </c>
      <c r="D93" t="s">
        <v>35</v>
      </c>
      <c r="E93">
        <v>9280</v>
      </c>
      <c r="F93" s="2">
        <v>0</v>
      </c>
      <c r="G93" s="2">
        <v>195.91</v>
      </c>
    </row>
    <row r="94" spans="2:7" x14ac:dyDescent="0.35">
      <c r="B94" s="1">
        <v>45895</v>
      </c>
      <c r="D94" t="s">
        <v>36</v>
      </c>
      <c r="E94">
        <v>9281</v>
      </c>
      <c r="F94" s="2">
        <v>0</v>
      </c>
      <c r="G94" s="2">
        <v>84.51</v>
      </c>
    </row>
    <row r="95" spans="2:7" x14ac:dyDescent="0.35">
      <c r="B95" s="1">
        <v>45894</v>
      </c>
      <c r="D95" t="s">
        <v>37</v>
      </c>
      <c r="E95">
        <v>9282</v>
      </c>
      <c r="F95" s="2">
        <v>0</v>
      </c>
      <c r="G95" s="2">
        <v>235.99</v>
      </c>
    </row>
    <row r="96" spans="2:7" x14ac:dyDescent="0.35">
      <c r="B96" s="1">
        <v>45894</v>
      </c>
      <c r="D96" t="s">
        <v>38</v>
      </c>
      <c r="E96">
        <v>9283</v>
      </c>
      <c r="F96" s="2">
        <v>0</v>
      </c>
      <c r="G96" s="2">
        <v>500</v>
      </c>
    </row>
    <row r="97" spans="2:7" x14ac:dyDescent="0.35">
      <c r="B97" s="1">
        <v>45873</v>
      </c>
      <c r="D97" t="s">
        <v>39</v>
      </c>
      <c r="E97">
        <v>26157</v>
      </c>
      <c r="F97" s="2">
        <v>0</v>
      </c>
      <c r="G97" s="2">
        <v>558.15</v>
      </c>
    </row>
    <row r="98" spans="2:7" x14ac:dyDescent="0.35">
      <c r="B98" s="1">
        <v>45873</v>
      </c>
      <c r="D98" t="s">
        <v>40</v>
      </c>
      <c r="E98">
        <v>26158</v>
      </c>
      <c r="F98" s="2">
        <v>0</v>
      </c>
      <c r="G98" s="2">
        <v>679.45</v>
      </c>
    </row>
    <row r="99" spans="2:7" x14ac:dyDescent="0.35">
      <c r="B99" s="1">
        <v>45870</v>
      </c>
      <c r="D99" t="s">
        <v>41</v>
      </c>
      <c r="E99">
        <v>26159</v>
      </c>
      <c r="F99" s="2">
        <v>0</v>
      </c>
      <c r="G99" s="2">
        <v>722.23</v>
      </c>
    </row>
    <row r="100" spans="2:7" x14ac:dyDescent="0.35">
      <c r="B100" s="1">
        <v>45870</v>
      </c>
      <c r="D100" t="s">
        <v>42</v>
      </c>
      <c r="E100">
        <v>26160</v>
      </c>
      <c r="F100" s="2">
        <v>0</v>
      </c>
      <c r="G100" s="2">
        <v>1162.9000000000001</v>
      </c>
    </row>
    <row r="101" spans="2:7" x14ac:dyDescent="0.35">
      <c r="B101" s="1">
        <v>45874</v>
      </c>
      <c r="D101" t="s">
        <v>43</v>
      </c>
      <c r="E101">
        <v>26161</v>
      </c>
      <c r="F101" s="2">
        <v>0</v>
      </c>
      <c r="G101" s="2">
        <v>737.69</v>
      </c>
    </row>
    <row r="102" spans="2:7" x14ac:dyDescent="0.35">
      <c r="B102" s="1">
        <v>45873</v>
      </c>
      <c r="D102" t="s">
        <v>44</v>
      </c>
      <c r="E102">
        <v>26163</v>
      </c>
      <c r="F102" s="2">
        <v>0</v>
      </c>
      <c r="G102" s="2">
        <v>452.74</v>
      </c>
    </row>
    <row r="103" spans="2:7" x14ac:dyDescent="0.35">
      <c r="B103" s="1">
        <v>45870</v>
      </c>
      <c r="D103" t="s">
        <v>45</v>
      </c>
      <c r="E103">
        <v>26164</v>
      </c>
      <c r="F103" s="2">
        <v>0</v>
      </c>
      <c r="G103" s="2">
        <v>6196.65</v>
      </c>
    </row>
    <row r="104" spans="2:7" x14ac:dyDescent="0.35">
      <c r="B104" s="1">
        <v>45870</v>
      </c>
      <c r="D104" t="s">
        <v>46</v>
      </c>
      <c r="E104">
        <v>26165</v>
      </c>
      <c r="F104" s="2">
        <v>0</v>
      </c>
      <c r="G104" s="2">
        <v>2140.9499999999998</v>
      </c>
    </row>
    <row r="105" spans="2:7" x14ac:dyDescent="0.35">
      <c r="B105" s="1">
        <v>45880</v>
      </c>
      <c r="D105" t="s">
        <v>47</v>
      </c>
      <c r="E105">
        <v>26166</v>
      </c>
      <c r="F105" s="2">
        <v>0</v>
      </c>
      <c r="G105" s="2">
        <v>610.29</v>
      </c>
    </row>
    <row r="106" spans="2:7" x14ac:dyDescent="0.35">
      <c r="B106" s="1">
        <v>45880</v>
      </c>
      <c r="D106" t="s">
        <v>48</v>
      </c>
      <c r="E106">
        <v>26167</v>
      </c>
      <c r="F106" s="2">
        <v>0</v>
      </c>
      <c r="G106" s="2">
        <v>809.8</v>
      </c>
    </row>
    <row r="107" spans="2:7" x14ac:dyDescent="0.35">
      <c r="B107" s="1">
        <v>45877</v>
      </c>
      <c r="D107" t="s">
        <v>49</v>
      </c>
      <c r="E107">
        <v>26168</v>
      </c>
      <c r="F107" s="2">
        <v>0</v>
      </c>
      <c r="G107" s="2">
        <v>856.23</v>
      </c>
    </row>
    <row r="108" spans="2:7" x14ac:dyDescent="0.35">
      <c r="B108" s="1">
        <v>45877</v>
      </c>
      <c r="D108" t="s">
        <v>50</v>
      </c>
      <c r="E108">
        <v>26169</v>
      </c>
      <c r="F108" s="2">
        <v>0</v>
      </c>
      <c r="G108" s="2">
        <v>1373.74</v>
      </c>
    </row>
    <row r="109" spans="2:7" x14ac:dyDescent="0.35">
      <c r="B109" s="1">
        <v>45877</v>
      </c>
      <c r="D109" t="s">
        <v>51</v>
      </c>
      <c r="E109">
        <v>26170</v>
      </c>
      <c r="F109" s="2">
        <v>0</v>
      </c>
      <c r="G109" s="2">
        <v>1679.94</v>
      </c>
    </row>
    <row r="110" spans="2:7" x14ac:dyDescent="0.35">
      <c r="B110" s="1">
        <v>45880</v>
      </c>
      <c r="D110" t="s">
        <v>52</v>
      </c>
      <c r="E110">
        <v>26171</v>
      </c>
      <c r="F110" s="2">
        <v>0</v>
      </c>
      <c r="G110" s="2">
        <v>840.51</v>
      </c>
    </row>
    <row r="111" spans="2:7" x14ac:dyDescent="0.35">
      <c r="B111" s="1">
        <v>45884</v>
      </c>
      <c r="D111" t="s">
        <v>53</v>
      </c>
      <c r="E111">
        <v>26172</v>
      </c>
      <c r="F111" s="2">
        <v>0</v>
      </c>
      <c r="G111" s="2">
        <v>473.19</v>
      </c>
    </row>
    <row r="112" spans="2:7" x14ac:dyDescent="0.35">
      <c r="B112" s="1">
        <v>45887</v>
      </c>
      <c r="D112" t="s">
        <v>54</v>
      </c>
      <c r="E112">
        <v>26173</v>
      </c>
      <c r="F112" s="2">
        <v>0</v>
      </c>
      <c r="G112" s="2">
        <v>692.33</v>
      </c>
    </row>
    <row r="113" spans="2:7" x14ac:dyDescent="0.35">
      <c r="B113" s="1">
        <v>45884</v>
      </c>
      <c r="D113" t="s">
        <v>55</v>
      </c>
      <c r="E113">
        <v>26174</v>
      </c>
      <c r="F113" s="2">
        <v>0</v>
      </c>
      <c r="G113" s="2">
        <v>726.91</v>
      </c>
    </row>
    <row r="114" spans="2:7" x14ac:dyDescent="0.35">
      <c r="B114" s="1">
        <v>45884</v>
      </c>
      <c r="D114" t="s">
        <v>56</v>
      </c>
      <c r="E114">
        <v>26175</v>
      </c>
      <c r="F114" s="2">
        <v>0</v>
      </c>
      <c r="G114" s="2">
        <v>1331.28</v>
      </c>
    </row>
    <row r="115" spans="2:7" x14ac:dyDescent="0.35">
      <c r="B115" s="1">
        <v>45884</v>
      </c>
      <c r="D115" t="s">
        <v>57</v>
      </c>
      <c r="E115">
        <v>26176</v>
      </c>
      <c r="F115" s="2">
        <v>0</v>
      </c>
      <c r="G115" s="2">
        <v>972.55</v>
      </c>
    </row>
    <row r="116" spans="2:7" x14ac:dyDescent="0.35">
      <c r="B116" s="1">
        <v>45891</v>
      </c>
      <c r="D116" t="s">
        <v>58</v>
      </c>
      <c r="E116">
        <v>26177</v>
      </c>
      <c r="F116" s="2">
        <v>0</v>
      </c>
      <c r="G116" s="2">
        <v>558.15</v>
      </c>
    </row>
    <row r="117" spans="2:7" x14ac:dyDescent="0.35">
      <c r="B117" s="1">
        <v>45894</v>
      </c>
      <c r="D117" t="s">
        <v>59</v>
      </c>
      <c r="E117">
        <v>26178</v>
      </c>
      <c r="F117" s="2">
        <v>0</v>
      </c>
      <c r="G117" s="2">
        <v>679.45</v>
      </c>
    </row>
    <row r="118" spans="2:7" x14ac:dyDescent="0.35">
      <c r="B118" s="1">
        <v>45891</v>
      </c>
      <c r="D118" t="s">
        <v>60</v>
      </c>
      <c r="E118">
        <v>26179</v>
      </c>
      <c r="F118" s="2">
        <v>0</v>
      </c>
      <c r="G118" s="2">
        <v>729.21</v>
      </c>
    </row>
    <row r="119" spans="2:7" x14ac:dyDescent="0.35">
      <c r="B119" s="1">
        <v>45891</v>
      </c>
      <c r="D119" t="s">
        <v>61</v>
      </c>
      <c r="E119">
        <v>26180</v>
      </c>
      <c r="F119" s="2">
        <v>0</v>
      </c>
      <c r="G119" s="2">
        <v>1181.7</v>
      </c>
    </row>
    <row r="120" spans="2:7" x14ac:dyDescent="0.35">
      <c r="B120" s="1">
        <v>45891</v>
      </c>
      <c r="D120" t="s">
        <v>62</v>
      </c>
      <c r="E120">
        <v>26181</v>
      </c>
      <c r="F120" s="2">
        <v>0</v>
      </c>
      <c r="G120" s="2">
        <v>2844.94</v>
      </c>
    </row>
    <row r="121" spans="2:7" x14ac:dyDescent="0.35">
      <c r="B121" s="1">
        <v>45891</v>
      </c>
      <c r="D121" t="s">
        <v>63</v>
      </c>
      <c r="E121">
        <v>26182</v>
      </c>
      <c r="F121" s="2">
        <v>0</v>
      </c>
      <c r="G121" s="2">
        <v>776.75</v>
      </c>
    </row>
    <row r="122" spans="2:7" x14ac:dyDescent="0.35">
      <c r="B122" s="1">
        <v>45898</v>
      </c>
      <c r="D122" t="s">
        <v>64</v>
      </c>
      <c r="E122">
        <v>26185</v>
      </c>
      <c r="F122" s="2">
        <v>0</v>
      </c>
      <c r="G122" s="2">
        <v>835.84</v>
      </c>
    </row>
    <row r="123" spans="2:7" x14ac:dyDescent="0.35">
      <c r="B123" s="1">
        <v>45898</v>
      </c>
      <c r="D123" t="s">
        <v>65</v>
      </c>
      <c r="E123">
        <v>26186</v>
      </c>
      <c r="F123" s="2">
        <v>0</v>
      </c>
      <c r="G123" s="2">
        <v>1241.8699999999999</v>
      </c>
    </row>
    <row r="124" spans="2:7" x14ac:dyDescent="0.35">
      <c r="B124" s="1">
        <v>45898</v>
      </c>
      <c r="D124" t="s">
        <v>66</v>
      </c>
      <c r="E124">
        <v>26188</v>
      </c>
      <c r="F124" s="2">
        <v>0</v>
      </c>
      <c r="G124" s="2">
        <v>6196.63</v>
      </c>
    </row>
    <row r="125" spans="2:7" x14ac:dyDescent="0.35">
      <c r="B125" s="1">
        <v>45898</v>
      </c>
      <c r="D125" t="s">
        <v>67</v>
      </c>
      <c r="E125">
        <v>26189</v>
      </c>
      <c r="F125" s="2">
        <v>0</v>
      </c>
      <c r="G125" s="2">
        <v>2516.61</v>
      </c>
    </row>
    <row r="126" spans="2:7" x14ac:dyDescent="0.35">
      <c r="B126" s="1">
        <v>45898</v>
      </c>
      <c r="D126" t="s">
        <v>68</v>
      </c>
      <c r="E126">
        <v>26190</v>
      </c>
      <c r="F126" s="2">
        <v>0</v>
      </c>
      <c r="G126" s="2">
        <v>359.89</v>
      </c>
    </row>
    <row r="128" spans="2:7" x14ac:dyDescent="0.35">
      <c r="B128" s="1">
        <v>45840</v>
      </c>
      <c r="D128" t="s">
        <v>69</v>
      </c>
      <c r="E128">
        <v>9223</v>
      </c>
      <c r="F128" s="2">
        <v>0</v>
      </c>
      <c r="G128" s="2">
        <v>2013.64</v>
      </c>
    </row>
    <row r="129" spans="2:7" x14ac:dyDescent="0.35">
      <c r="B129" s="1">
        <v>45841</v>
      </c>
      <c r="D129" t="s">
        <v>70</v>
      </c>
      <c r="E129">
        <v>9227</v>
      </c>
      <c r="F129" s="2">
        <v>0</v>
      </c>
      <c r="G129" s="2">
        <v>2160</v>
      </c>
    </row>
    <row r="130" spans="2:7" x14ac:dyDescent="0.35">
      <c r="B130" s="1">
        <v>45841</v>
      </c>
      <c r="D130" t="s">
        <v>71</v>
      </c>
      <c r="E130">
        <v>9228</v>
      </c>
      <c r="F130" s="2">
        <v>0</v>
      </c>
      <c r="G130" s="2">
        <v>250</v>
      </c>
    </row>
    <row r="131" spans="2:7" x14ac:dyDescent="0.35">
      <c r="B131" s="1">
        <v>45839</v>
      </c>
      <c r="D131" t="s">
        <v>72</v>
      </c>
      <c r="E131">
        <v>9229</v>
      </c>
      <c r="F131" s="2">
        <v>0</v>
      </c>
      <c r="G131" s="2">
        <v>639.73</v>
      </c>
    </row>
    <row r="132" spans="2:7" x14ac:dyDescent="0.35">
      <c r="B132" s="1">
        <v>45839</v>
      </c>
      <c r="D132" t="s">
        <v>73</v>
      </c>
      <c r="E132">
        <v>9230</v>
      </c>
      <c r="F132" s="2">
        <v>0</v>
      </c>
      <c r="G132" s="2">
        <v>15.95</v>
      </c>
    </row>
    <row r="133" spans="2:7" x14ac:dyDescent="0.35">
      <c r="B133" s="1">
        <v>45841</v>
      </c>
      <c r="D133" t="s">
        <v>74</v>
      </c>
      <c r="E133">
        <v>9231</v>
      </c>
      <c r="F133" s="2">
        <v>0</v>
      </c>
      <c r="G133" s="2">
        <v>85.64</v>
      </c>
    </row>
    <row r="134" spans="2:7" x14ac:dyDescent="0.35">
      <c r="B134" s="1">
        <v>45847</v>
      </c>
      <c r="D134" t="s">
        <v>75</v>
      </c>
      <c r="E134">
        <v>9232</v>
      </c>
      <c r="F134" s="2">
        <v>0</v>
      </c>
      <c r="G134" s="2">
        <v>3370.96</v>
      </c>
    </row>
    <row r="135" spans="2:7" x14ac:dyDescent="0.35">
      <c r="B135" s="1">
        <v>45848</v>
      </c>
      <c r="D135" t="s">
        <v>76</v>
      </c>
      <c r="E135">
        <v>9234</v>
      </c>
      <c r="F135" s="2">
        <v>0</v>
      </c>
      <c r="G135" s="2">
        <v>636.79999999999995</v>
      </c>
    </row>
    <row r="136" spans="2:7" x14ac:dyDescent="0.35">
      <c r="B136" s="1">
        <v>45846</v>
      </c>
      <c r="D136" t="s">
        <v>77</v>
      </c>
      <c r="E136">
        <v>9235</v>
      </c>
      <c r="F136" s="2">
        <v>0</v>
      </c>
      <c r="G136" s="2">
        <v>454.76</v>
      </c>
    </row>
    <row r="137" spans="2:7" x14ac:dyDescent="0.35">
      <c r="B137" s="1">
        <v>45846</v>
      </c>
      <c r="D137" t="s">
        <v>78</v>
      </c>
      <c r="E137">
        <v>9236</v>
      </c>
      <c r="F137" s="2">
        <v>0</v>
      </c>
      <c r="G137" s="2">
        <v>440</v>
      </c>
    </row>
    <row r="138" spans="2:7" x14ac:dyDescent="0.35">
      <c r="B138" s="1">
        <v>45847</v>
      </c>
      <c r="D138" t="s">
        <v>79</v>
      </c>
      <c r="E138">
        <v>9237</v>
      </c>
      <c r="F138" s="2">
        <v>0</v>
      </c>
      <c r="G138" s="2">
        <v>3490.3</v>
      </c>
    </row>
    <row r="139" spans="2:7" x14ac:dyDescent="0.35">
      <c r="B139" s="1">
        <v>45847</v>
      </c>
      <c r="D139" t="s">
        <v>80</v>
      </c>
      <c r="E139">
        <v>9238</v>
      </c>
      <c r="F139" s="2">
        <v>0</v>
      </c>
      <c r="G139" s="2">
        <v>5287.19</v>
      </c>
    </row>
    <row r="140" spans="2:7" x14ac:dyDescent="0.35">
      <c r="B140" s="1">
        <v>45847</v>
      </c>
      <c r="D140" t="s">
        <v>81</v>
      </c>
      <c r="E140">
        <v>9239</v>
      </c>
      <c r="F140" s="2">
        <v>0</v>
      </c>
      <c r="G140" s="2">
        <v>841.98</v>
      </c>
    </row>
    <row r="141" spans="2:7" x14ac:dyDescent="0.35">
      <c r="B141" s="1">
        <v>45852</v>
      </c>
      <c r="D141" t="s">
        <v>82</v>
      </c>
      <c r="E141">
        <v>9240</v>
      </c>
      <c r="F141" s="2">
        <v>0</v>
      </c>
      <c r="G141" s="2">
        <v>1096.32</v>
      </c>
    </row>
    <row r="142" spans="2:7" x14ac:dyDescent="0.35">
      <c r="B142" s="1">
        <v>45856</v>
      </c>
      <c r="D142" t="s">
        <v>83</v>
      </c>
      <c r="E142">
        <v>9241</v>
      </c>
      <c r="F142" s="2">
        <v>0</v>
      </c>
      <c r="G142" s="2">
        <v>4605.5</v>
      </c>
    </row>
    <row r="143" spans="2:7" x14ac:dyDescent="0.35">
      <c r="B143" s="1">
        <v>45852</v>
      </c>
      <c r="D143" t="s">
        <v>84</v>
      </c>
      <c r="E143">
        <v>9242</v>
      </c>
      <c r="F143" s="2">
        <v>0</v>
      </c>
      <c r="G143" s="2">
        <v>200</v>
      </c>
    </row>
    <row r="144" spans="2:7" x14ac:dyDescent="0.35">
      <c r="B144" s="1">
        <v>45855</v>
      </c>
      <c r="D144" t="s">
        <v>85</v>
      </c>
      <c r="E144">
        <v>9243</v>
      </c>
      <c r="F144" s="2">
        <v>0</v>
      </c>
      <c r="G144" s="2">
        <v>156.25</v>
      </c>
    </row>
    <row r="145" spans="2:7" x14ac:dyDescent="0.35">
      <c r="B145" s="1">
        <v>45856</v>
      </c>
      <c r="D145" t="s">
        <v>86</v>
      </c>
      <c r="E145">
        <v>9244</v>
      </c>
      <c r="F145" s="2">
        <v>0</v>
      </c>
      <c r="G145" s="2">
        <v>120.52</v>
      </c>
    </row>
    <row r="146" spans="2:7" x14ac:dyDescent="0.35">
      <c r="B146" s="1">
        <v>45856</v>
      </c>
      <c r="D146" t="s">
        <v>87</v>
      </c>
      <c r="E146">
        <v>9245</v>
      </c>
      <c r="F146" s="2">
        <v>0</v>
      </c>
      <c r="G146" s="2">
        <v>96.28</v>
      </c>
    </row>
    <row r="147" spans="2:7" x14ac:dyDescent="0.35">
      <c r="B147" s="1">
        <v>45859</v>
      </c>
      <c r="D147" t="s">
        <v>88</v>
      </c>
      <c r="E147">
        <v>9247</v>
      </c>
      <c r="F147" s="2">
        <v>0</v>
      </c>
      <c r="G147" s="2">
        <v>300</v>
      </c>
    </row>
    <row r="148" spans="2:7" x14ac:dyDescent="0.35">
      <c r="B148" s="1">
        <v>45860</v>
      </c>
      <c r="D148" t="s">
        <v>89</v>
      </c>
      <c r="E148">
        <v>9248</v>
      </c>
      <c r="F148" s="2">
        <v>0</v>
      </c>
      <c r="G148" s="2">
        <v>433</v>
      </c>
    </row>
    <row r="149" spans="2:7" x14ac:dyDescent="0.35">
      <c r="B149" s="1">
        <v>45860</v>
      </c>
      <c r="D149" t="s">
        <v>90</v>
      </c>
      <c r="E149">
        <v>9249</v>
      </c>
      <c r="F149" s="2">
        <v>0</v>
      </c>
      <c r="G149" s="2">
        <v>267</v>
      </c>
    </row>
    <row r="150" spans="2:7" x14ac:dyDescent="0.35">
      <c r="B150" s="1">
        <v>45862</v>
      </c>
      <c r="D150" t="s">
        <v>91</v>
      </c>
      <c r="E150">
        <v>9250</v>
      </c>
      <c r="F150" s="2">
        <v>0</v>
      </c>
      <c r="G150" s="2">
        <v>10139.14</v>
      </c>
    </row>
    <row r="151" spans="2:7" x14ac:dyDescent="0.35">
      <c r="B151" s="1">
        <v>45861</v>
      </c>
      <c r="D151" t="s">
        <v>92</v>
      </c>
      <c r="E151">
        <v>9251</v>
      </c>
      <c r="F151" s="2">
        <v>0</v>
      </c>
      <c r="G151" s="2">
        <v>2060.16</v>
      </c>
    </row>
    <row r="152" spans="2:7" x14ac:dyDescent="0.35">
      <c r="B152" s="1">
        <v>45867</v>
      </c>
      <c r="D152" t="s">
        <v>93</v>
      </c>
      <c r="E152">
        <v>9252</v>
      </c>
      <c r="F152" s="2">
        <v>0</v>
      </c>
      <c r="G152" s="2">
        <v>192.39</v>
      </c>
    </row>
    <row r="153" spans="2:7" x14ac:dyDescent="0.35">
      <c r="B153" s="1">
        <v>45863</v>
      </c>
      <c r="D153" t="s">
        <v>94</v>
      </c>
      <c r="E153">
        <v>9253</v>
      </c>
      <c r="F153" s="2">
        <v>0</v>
      </c>
      <c r="G153" s="2">
        <v>225</v>
      </c>
    </row>
    <row r="154" spans="2:7" x14ac:dyDescent="0.35">
      <c r="B154" s="1">
        <v>45867</v>
      </c>
      <c r="D154" t="s">
        <v>95</v>
      </c>
      <c r="E154">
        <v>9254</v>
      </c>
      <c r="F154" s="2">
        <v>0</v>
      </c>
      <c r="G154" s="2">
        <v>104.27</v>
      </c>
    </row>
    <row r="155" spans="2:7" x14ac:dyDescent="0.35">
      <c r="B155" s="1">
        <v>45861</v>
      </c>
      <c r="D155" t="s">
        <v>96</v>
      </c>
      <c r="E155">
        <v>9255</v>
      </c>
      <c r="F155" s="2">
        <v>0</v>
      </c>
      <c r="G155" s="2">
        <v>369.5</v>
      </c>
    </row>
    <row r="156" spans="2:7" x14ac:dyDescent="0.35">
      <c r="B156" s="1">
        <v>45863</v>
      </c>
      <c r="D156" t="s">
        <v>97</v>
      </c>
      <c r="E156">
        <v>9256</v>
      </c>
      <c r="F156" s="2">
        <v>0</v>
      </c>
      <c r="G156" s="2">
        <v>211.13</v>
      </c>
    </row>
    <row r="157" spans="2:7" x14ac:dyDescent="0.35">
      <c r="B157" s="1">
        <v>45863</v>
      </c>
      <c r="D157" t="s">
        <v>98</v>
      </c>
      <c r="E157">
        <v>9257</v>
      </c>
      <c r="F157" s="2">
        <v>0</v>
      </c>
      <c r="G157" s="2">
        <v>7248.14</v>
      </c>
    </row>
    <row r="158" spans="2:7" x14ac:dyDescent="0.35">
      <c r="B158" s="1">
        <v>45863</v>
      </c>
      <c r="D158" t="s">
        <v>99</v>
      </c>
      <c r="E158">
        <v>9258</v>
      </c>
      <c r="F158" s="2">
        <v>0</v>
      </c>
      <c r="G158" s="2">
        <v>655</v>
      </c>
    </row>
    <row r="159" spans="2:7" x14ac:dyDescent="0.35">
      <c r="B159" s="1">
        <v>45840</v>
      </c>
      <c r="D159" t="s">
        <v>100</v>
      </c>
      <c r="E159">
        <v>26132</v>
      </c>
      <c r="F159" s="2">
        <v>0</v>
      </c>
      <c r="G159" s="2">
        <v>6196.65</v>
      </c>
    </row>
    <row r="160" spans="2:7" x14ac:dyDescent="0.35">
      <c r="B160" s="1">
        <v>45840</v>
      </c>
      <c r="D160" t="s">
        <v>101</v>
      </c>
      <c r="E160">
        <v>26133</v>
      </c>
      <c r="F160" s="2">
        <v>0</v>
      </c>
      <c r="G160" s="2">
        <v>2140.9499999999998</v>
      </c>
    </row>
    <row r="161" spans="2:7" x14ac:dyDescent="0.35">
      <c r="B161" s="1">
        <v>45845</v>
      </c>
      <c r="D161" t="s">
        <v>102</v>
      </c>
      <c r="E161">
        <v>26134</v>
      </c>
      <c r="F161" s="2">
        <v>0</v>
      </c>
      <c r="G161" s="2">
        <v>424.27</v>
      </c>
    </row>
    <row r="162" spans="2:7" x14ac:dyDescent="0.35">
      <c r="B162" s="1">
        <v>45845</v>
      </c>
      <c r="D162" t="s">
        <v>103</v>
      </c>
      <c r="E162">
        <v>26135</v>
      </c>
      <c r="F162" s="2">
        <v>0</v>
      </c>
      <c r="G162" s="2">
        <v>621.41999999999996</v>
      </c>
    </row>
    <row r="163" spans="2:7" x14ac:dyDescent="0.35">
      <c r="B163" s="1">
        <v>45845</v>
      </c>
      <c r="D163" t="s">
        <v>104</v>
      </c>
      <c r="E163">
        <v>26136</v>
      </c>
      <c r="F163" s="2">
        <v>0</v>
      </c>
      <c r="G163" s="2">
        <v>726.9</v>
      </c>
    </row>
    <row r="164" spans="2:7" x14ac:dyDescent="0.35">
      <c r="B164" s="1">
        <v>45845</v>
      </c>
      <c r="D164" t="s">
        <v>105</v>
      </c>
      <c r="E164">
        <v>26137</v>
      </c>
      <c r="F164" s="2">
        <v>0</v>
      </c>
      <c r="G164" s="2">
        <v>1162.9000000000001</v>
      </c>
    </row>
    <row r="165" spans="2:7" x14ac:dyDescent="0.35">
      <c r="B165" s="1">
        <v>45845</v>
      </c>
      <c r="D165" t="s">
        <v>106</v>
      </c>
      <c r="E165">
        <v>26138</v>
      </c>
      <c r="F165" s="2">
        <v>0</v>
      </c>
      <c r="G165" s="2">
        <v>3195.69</v>
      </c>
    </row>
    <row r="166" spans="2:7" x14ac:dyDescent="0.35">
      <c r="B166" s="1">
        <v>45845</v>
      </c>
      <c r="D166" t="s">
        <v>107</v>
      </c>
      <c r="E166">
        <v>26139</v>
      </c>
      <c r="F166" s="2">
        <v>0</v>
      </c>
      <c r="G166" s="2">
        <v>737.69</v>
      </c>
    </row>
    <row r="167" spans="2:7" x14ac:dyDescent="0.35">
      <c r="B167" s="1">
        <v>45852</v>
      </c>
      <c r="D167" t="s">
        <v>108</v>
      </c>
      <c r="E167">
        <v>26140</v>
      </c>
      <c r="F167" s="2">
        <v>0</v>
      </c>
      <c r="G167" s="2">
        <v>581.70000000000005</v>
      </c>
    </row>
    <row r="168" spans="2:7" x14ac:dyDescent="0.35">
      <c r="B168" s="1">
        <v>45852</v>
      </c>
      <c r="D168" t="s">
        <v>109</v>
      </c>
      <c r="E168">
        <v>26141</v>
      </c>
      <c r="F168" s="2">
        <v>0</v>
      </c>
      <c r="G168" s="2">
        <v>728.46</v>
      </c>
    </row>
    <row r="169" spans="2:7" x14ac:dyDescent="0.35">
      <c r="B169" s="1">
        <v>45849</v>
      </c>
      <c r="D169" t="s">
        <v>110</v>
      </c>
      <c r="E169">
        <v>26142</v>
      </c>
      <c r="F169" s="2">
        <v>0</v>
      </c>
      <c r="G169" s="2">
        <v>763.28</v>
      </c>
    </row>
    <row r="170" spans="2:7" x14ac:dyDescent="0.35">
      <c r="B170" s="1">
        <v>45849</v>
      </c>
      <c r="D170" t="s">
        <v>111</v>
      </c>
      <c r="E170">
        <v>26143</v>
      </c>
      <c r="F170" s="2">
        <v>0</v>
      </c>
      <c r="G170" s="2">
        <v>1279.47</v>
      </c>
    </row>
    <row r="171" spans="2:7" x14ac:dyDescent="0.35">
      <c r="B171" s="1">
        <v>45852</v>
      </c>
      <c r="D171" t="s">
        <v>112</v>
      </c>
      <c r="E171">
        <v>26144</v>
      </c>
      <c r="F171" s="2">
        <v>0</v>
      </c>
      <c r="G171" s="2">
        <v>776.74</v>
      </c>
    </row>
    <row r="172" spans="2:7" x14ac:dyDescent="0.35">
      <c r="B172" s="1">
        <v>45859</v>
      </c>
      <c r="D172" t="s">
        <v>113</v>
      </c>
      <c r="E172">
        <v>26145</v>
      </c>
      <c r="F172" s="2">
        <v>0</v>
      </c>
      <c r="G172" s="2">
        <v>576.65</v>
      </c>
    </row>
    <row r="173" spans="2:7" x14ac:dyDescent="0.35">
      <c r="B173" s="1">
        <v>45859</v>
      </c>
      <c r="D173" t="s">
        <v>114</v>
      </c>
      <c r="E173">
        <v>26146</v>
      </c>
      <c r="F173" s="2">
        <v>0</v>
      </c>
      <c r="G173" s="2">
        <v>713.82</v>
      </c>
    </row>
    <row r="174" spans="2:7" x14ac:dyDescent="0.35">
      <c r="B174" s="1">
        <v>45856</v>
      </c>
      <c r="D174" t="s">
        <v>115</v>
      </c>
      <c r="E174">
        <v>26147</v>
      </c>
      <c r="F174" s="2">
        <v>0</v>
      </c>
      <c r="G174" s="2">
        <v>792.74</v>
      </c>
    </row>
    <row r="175" spans="2:7" x14ac:dyDescent="0.35">
      <c r="B175" s="1">
        <v>45856</v>
      </c>
      <c r="D175" t="s">
        <v>116</v>
      </c>
      <c r="E175">
        <v>26148</v>
      </c>
      <c r="F175" s="2">
        <v>0</v>
      </c>
      <c r="G175" s="2">
        <v>1238.0999999999999</v>
      </c>
    </row>
    <row r="176" spans="2:7" x14ac:dyDescent="0.35">
      <c r="B176" s="1">
        <v>45856</v>
      </c>
      <c r="D176" t="s">
        <v>117</v>
      </c>
      <c r="E176">
        <v>26149</v>
      </c>
      <c r="F176" s="2">
        <v>0</v>
      </c>
      <c r="G176" s="2">
        <v>1538.96</v>
      </c>
    </row>
    <row r="177" spans="2:7" x14ac:dyDescent="0.35">
      <c r="B177" s="1">
        <v>45859</v>
      </c>
      <c r="D177" t="s">
        <v>118</v>
      </c>
      <c r="E177">
        <v>26150</v>
      </c>
      <c r="F177" s="2">
        <v>0</v>
      </c>
      <c r="G177" s="2">
        <v>821.49</v>
      </c>
    </row>
    <row r="178" spans="2:7" x14ac:dyDescent="0.35">
      <c r="B178" s="1">
        <v>45866</v>
      </c>
      <c r="D178" t="s">
        <v>119</v>
      </c>
      <c r="E178">
        <v>26151</v>
      </c>
      <c r="F178" s="2">
        <v>0</v>
      </c>
      <c r="G178" s="2">
        <v>556.47</v>
      </c>
    </row>
    <row r="179" spans="2:7" x14ac:dyDescent="0.35">
      <c r="B179" s="1">
        <v>45866</v>
      </c>
      <c r="D179" t="s">
        <v>120</v>
      </c>
      <c r="E179">
        <v>26152</v>
      </c>
      <c r="F179" s="2">
        <v>0</v>
      </c>
      <c r="G179" s="2">
        <v>660.12</v>
      </c>
    </row>
    <row r="180" spans="2:7" x14ac:dyDescent="0.35">
      <c r="B180" s="1">
        <v>45863</v>
      </c>
      <c r="D180" t="s">
        <v>121</v>
      </c>
      <c r="E180">
        <v>26153</v>
      </c>
      <c r="F180" s="2">
        <v>0</v>
      </c>
      <c r="G180" s="2">
        <v>670.84</v>
      </c>
    </row>
    <row r="181" spans="2:7" x14ac:dyDescent="0.35">
      <c r="B181" s="1">
        <v>45863</v>
      </c>
      <c r="D181" t="s">
        <v>122</v>
      </c>
      <c r="E181">
        <v>26154</v>
      </c>
      <c r="F181" s="2">
        <v>0</v>
      </c>
      <c r="G181" s="2">
        <v>956.1</v>
      </c>
    </row>
    <row r="182" spans="2:7" x14ac:dyDescent="0.35">
      <c r="B182" s="1">
        <v>45863</v>
      </c>
      <c r="D182" t="s">
        <v>123</v>
      </c>
      <c r="E182">
        <v>26155</v>
      </c>
      <c r="F182" s="2">
        <v>0</v>
      </c>
      <c r="G182" s="2">
        <v>1506.78</v>
      </c>
    </row>
    <row r="183" spans="2:7" x14ac:dyDescent="0.35">
      <c r="B183" s="1">
        <v>45863</v>
      </c>
      <c r="D183" t="s">
        <v>124</v>
      </c>
      <c r="E183">
        <v>26156</v>
      </c>
      <c r="F183" s="2">
        <v>0</v>
      </c>
      <c r="G183" s="2">
        <v>815.14</v>
      </c>
    </row>
    <row r="192" spans="2:7" x14ac:dyDescent="0.35">
      <c r="B192" s="1">
        <v>45839</v>
      </c>
      <c r="D192" t="s">
        <v>125</v>
      </c>
      <c r="F192" s="2">
        <v>0</v>
      </c>
      <c r="G192" s="2">
        <v>22.01</v>
      </c>
    </row>
    <row r="193" spans="2:7" x14ac:dyDescent="0.35">
      <c r="B193" s="1">
        <v>45839</v>
      </c>
      <c r="D193" t="s">
        <v>126</v>
      </c>
      <c r="F193" s="2">
        <v>0</v>
      </c>
      <c r="G193" s="2">
        <v>85.47</v>
      </c>
    </row>
    <row r="194" spans="2:7" x14ac:dyDescent="0.35">
      <c r="B194" s="1">
        <v>45840</v>
      </c>
      <c r="D194" t="s">
        <v>127</v>
      </c>
      <c r="F194" s="2">
        <v>0</v>
      </c>
      <c r="G194" s="2">
        <v>1278.02</v>
      </c>
    </row>
    <row r="195" spans="2:7" x14ac:dyDescent="0.35">
      <c r="B195" s="1">
        <v>45840</v>
      </c>
      <c r="D195" t="s">
        <v>128</v>
      </c>
      <c r="F195" s="2">
        <v>0</v>
      </c>
      <c r="G195" s="2">
        <v>1985.36</v>
      </c>
    </row>
    <row r="196" spans="2:7" x14ac:dyDescent="0.35">
      <c r="B196" s="1">
        <v>45841</v>
      </c>
      <c r="D196" t="s">
        <v>129</v>
      </c>
      <c r="F196" s="2">
        <v>0</v>
      </c>
      <c r="G196" s="2">
        <v>1714.47</v>
      </c>
    </row>
    <row r="197" spans="2:7" x14ac:dyDescent="0.35">
      <c r="B197" s="1">
        <v>45841</v>
      </c>
      <c r="D197" t="s">
        <v>130</v>
      </c>
      <c r="F197" s="2">
        <v>0</v>
      </c>
      <c r="G197" s="2">
        <v>1068.3399999999999</v>
      </c>
    </row>
    <row r="198" spans="2:7" x14ac:dyDescent="0.35">
      <c r="B198" s="1">
        <v>45841</v>
      </c>
      <c r="D198" t="s">
        <v>125</v>
      </c>
      <c r="F198" s="2">
        <v>0</v>
      </c>
      <c r="G198" s="2">
        <v>26.64</v>
      </c>
    </row>
    <row r="199" spans="2:7" x14ac:dyDescent="0.35">
      <c r="B199" s="1">
        <v>45841</v>
      </c>
      <c r="D199" t="s">
        <v>131</v>
      </c>
      <c r="F199" s="2">
        <v>0</v>
      </c>
      <c r="G199" s="2">
        <v>5176.67</v>
      </c>
    </row>
    <row r="200" spans="2:7" x14ac:dyDescent="0.35">
      <c r="B200" s="1">
        <v>45845</v>
      </c>
      <c r="D200" t="s">
        <v>131</v>
      </c>
      <c r="F200" s="2">
        <v>0</v>
      </c>
      <c r="G200" s="2">
        <v>2.97</v>
      </c>
    </row>
    <row r="201" spans="2:7" x14ac:dyDescent="0.35">
      <c r="B201" s="1">
        <v>45849</v>
      </c>
      <c r="D201" t="s">
        <v>131</v>
      </c>
      <c r="F201" s="2">
        <v>0</v>
      </c>
      <c r="G201" s="2">
        <v>1090.2</v>
      </c>
    </row>
    <row r="202" spans="2:7" x14ac:dyDescent="0.35">
      <c r="B202" s="1">
        <v>45852</v>
      </c>
      <c r="D202" t="s">
        <v>132</v>
      </c>
      <c r="F202" s="2">
        <v>0</v>
      </c>
      <c r="G202" s="2">
        <v>6771.02</v>
      </c>
    </row>
    <row r="203" spans="2:7" x14ac:dyDescent="0.35">
      <c r="B203" s="1">
        <v>45853</v>
      </c>
      <c r="D203" t="s">
        <v>133</v>
      </c>
      <c r="F203" s="2">
        <v>0</v>
      </c>
      <c r="G203" s="2">
        <v>1549.16</v>
      </c>
    </row>
    <row r="204" spans="2:7" x14ac:dyDescent="0.35">
      <c r="B204" s="1">
        <v>45854</v>
      </c>
      <c r="D204" t="s">
        <v>134</v>
      </c>
      <c r="F204" s="2">
        <v>0</v>
      </c>
      <c r="G204" s="2">
        <v>348.89</v>
      </c>
    </row>
    <row r="205" spans="2:7" x14ac:dyDescent="0.35">
      <c r="B205" s="1">
        <v>45856</v>
      </c>
      <c r="D205" t="s">
        <v>131</v>
      </c>
      <c r="F205" s="2">
        <v>0</v>
      </c>
      <c r="G205" s="2">
        <v>1377.75</v>
      </c>
    </row>
    <row r="206" spans="2:7" x14ac:dyDescent="0.35">
      <c r="B206" s="1">
        <v>45860</v>
      </c>
      <c r="D206" t="s">
        <v>135</v>
      </c>
      <c r="F206" s="2">
        <v>0</v>
      </c>
      <c r="G206" s="2">
        <v>3239.72</v>
      </c>
    </row>
    <row r="207" spans="2:7" x14ac:dyDescent="0.35">
      <c r="B207" s="1">
        <v>45860</v>
      </c>
      <c r="D207" t="s">
        <v>136</v>
      </c>
      <c r="F207" s="2">
        <v>0</v>
      </c>
      <c r="G207" s="2">
        <v>8044.95</v>
      </c>
    </row>
    <row r="208" spans="2:7" x14ac:dyDescent="0.35">
      <c r="B208" s="1">
        <v>45863</v>
      </c>
      <c r="D208" t="s">
        <v>131</v>
      </c>
      <c r="G208" s="2">
        <v>1197.43</v>
      </c>
    </row>
    <row r="209" spans="2:7" x14ac:dyDescent="0.35">
      <c r="B209" s="1">
        <v>45869</v>
      </c>
      <c r="D209" t="s">
        <v>137</v>
      </c>
      <c r="F209" s="2">
        <v>0</v>
      </c>
      <c r="G209" s="2">
        <v>3306</v>
      </c>
    </row>
    <row r="211" spans="2:7" x14ac:dyDescent="0.35">
      <c r="B211" s="1">
        <v>45849</v>
      </c>
      <c r="D211" t="s">
        <v>138</v>
      </c>
      <c r="F211" s="2">
        <v>0</v>
      </c>
      <c r="G211" s="2">
        <v>35</v>
      </c>
    </row>
    <row r="212" spans="2:7" x14ac:dyDescent="0.35">
      <c r="B212" s="1">
        <v>45867</v>
      </c>
      <c r="D212" t="s">
        <v>139</v>
      </c>
      <c r="F212" s="2">
        <v>0</v>
      </c>
      <c r="G212" s="2">
        <v>5000</v>
      </c>
    </row>
    <row r="214" spans="2:7" x14ac:dyDescent="0.35">
      <c r="B214" s="1">
        <v>45870</v>
      </c>
      <c r="D214" t="s">
        <v>131</v>
      </c>
      <c r="F214" s="2">
        <v>0</v>
      </c>
      <c r="G214" s="2">
        <v>5346.94</v>
      </c>
    </row>
    <row r="215" spans="2:7" x14ac:dyDescent="0.35">
      <c r="B215" s="1">
        <v>45870</v>
      </c>
      <c r="D215" t="s">
        <v>126</v>
      </c>
      <c r="F215" s="2">
        <v>0</v>
      </c>
      <c r="G215" s="2">
        <v>85.47</v>
      </c>
    </row>
    <row r="216" spans="2:7" x14ac:dyDescent="0.35">
      <c r="B216" s="1">
        <v>45873</v>
      </c>
      <c r="D216" t="s">
        <v>130</v>
      </c>
      <c r="F216" s="2">
        <v>0</v>
      </c>
      <c r="G216" s="2">
        <v>1123.3599999999999</v>
      </c>
    </row>
    <row r="217" spans="2:7" x14ac:dyDescent="0.35">
      <c r="B217" s="1">
        <v>45873</v>
      </c>
      <c r="D217" t="s">
        <v>125</v>
      </c>
      <c r="F217" s="2">
        <v>0</v>
      </c>
      <c r="G217" s="2">
        <v>42.68</v>
      </c>
    </row>
    <row r="218" spans="2:7" x14ac:dyDescent="0.35">
      <c r="B218" s="1">
        <v>45873</v>
      </c>
      <c r="D218" t="s">
        <v>125</v>
      </c>
      <c r="F218" s="2">
        <v>0</v>
      </c>
      <c r="G218" s="2">
        <v>23.72</v>
      </c>
    </row>
    <row r="219" spans="2:7" x14ac:dyDescent="0.35">
      <c r="B219" s="1">
        <v>45873</v>
      </c>
      <c r="D219" t="s">
        <v>140</v>
      </c>
      <c r="F219" s="2">
        <v>0</v>
      </c>
      <c r="G219" s="2">
        <v>1985.36</v>
      </c>
    </row>
    <row r="220" spans="2:7" x14ac:dyDescent="0.35">
      <c r="B220" s="1">
        <v>45874</v>
      </c>
      <c r="D220" t="s">
        <v>127</v>
      </c>
      <c r="F220" s="2">
        <v>0</v>
      </c>
      <c r="G220" s="2">
        <v>1278.02</v>
      </c>
    </row>
    <row r="221" spans="2:7" x14ac:dyDescent="0.35">
      <c r="B221" s="1">
        <v>45874</v>
      </c>
      <c r="D221" t="s">
        <v>141</v>
      </c>
      <c r="F221" s="2">
        <v>0</v>
      </c>
      <c r="G221" s="2">
        <v>1884.5</v>
      </c>
    </row>
    <row r="222" spans="2:7" x14ac:dyDescent="0.35">
      <c r="B222" s="1">
        <v>45876</v>
      </c>
      <c r="D222" t="s">
        <v>142</v>
      </c>
      <c r="F222" s="2">
        <v>0</v>
      </c>
      <c r="G222" s="2">
        <v>248.7</v>
      </c>
    </row>
    <row r="223" spans="2:7" x14ac:dyDescent="0.35">
      <c r="B223" s="1">
        <v>45877</v>
      </c>
      <c r="D223" t="s">
        <v>131</v>
      </c>
      <c r="F223" s="2">
        <v>0</v>
      </c>
      <c r="G223" s="2">
        <v>934.92</v>
      </c>
    </row>
    <row r="224" spans="2:7" x14ac:dyDescent="0.35">
      <c r="B224" s="1">
        <v>45882</v>
      </c>
      <c r="D224" t="s">
        <v>143</v>
      </c>
      <c r="F224" s="2">
        <v>0</v>
      </c>
      <c r="G224" s="2">
        <v>14.1</v>
      </c>
    </row>
    <row r="225" spans="2:7" x14ac:dyDescent="0.35">
      <c r="B225" s="1">
        <v>45884</v>
      </c>
      <c r="D225" t="s">
        <v>144</v>
      </c>
      <c r="F225" s="2">
        <v>0</v>
      </c>
      <c r="G225" s="2">
        <v>1549.16</v>
      </c>
    </row>
    <row r="226" spans="2:7" x14ac:dyDescent="0.35">
      <c r="B226" s="1">
        <v>45884</v>
      </c>
      <c r="D226" t="s">
        <v>131</v>
      </c>
      <c r="F226" s="2">
        <v>0</v>
      </c>
      <c r="G226" s="2">
        <v>987.24</v>
      </c>
    </row>
    <row r="227" spans="2:7" x14ac:dyDescent="0.35">
      <c r="B227" s="1">
        <v>45890</v>
      </c>
      <c r="D227" t="s">
        <v>145</v>
      </c>
      <c r="F227" s="2">
        <v>0</v>
      </c>
      <c r="G227" s="2">
        <v>3239.72</v>
      </c>
    </row>
    <row r="228" spans="2:7" x14ac:dyDescent="0.35">
      <c r="B228" s="1">
        <v>45891</v>
      </c>
      <c r="D228" t="s">
        <v>131</v>
      </c>
      <c r="F228" s="2">
        <v>0</v>
      </c>
      <c r="G228" s="2">
        <v>1500.66</v>
      </c>
    </row>
    <row r="229" spans="2:7" x14ac:dyDescent="0.35">
      <c r="B229" s="1">
        <v>45896</v>
      </c>
      <c r="D229" t="s">
        <v>146</v>
      </c>
      <c r="F229" s="2">
        <v>0</v>
      </c>
      <c r="G229" s="2">
        <v>8593.43</v>
      </c>
    </row>
    <row r="230" spans="2:7" x14ac:dyDescent="0.35">
      <c r="B230" s="1">
        <v>45898</v>
      </c>
      <c r="D230" t="s">
        <v>147</v>
      </c>
      <c r="F230" s="2">
        <v>0</v>
      </c>
      <c r="G230" s="2">
        <v>6063</v>
      </c>
    </row>
    <row r="231" spans="2:7" x14ac:dyDescent="0.35">
      <c r="B231" s="1">
        <v>45898</v>
      </c>
      <c r="D231" t="s">
        <v>142</v>
      </c>
      <c r="F231" s="2">
        <v>0</v>
      </c>
      <c r="G231" s="2">
        <v>1006.7</v>
      </c>
    </row>
    <row r="232" spans="2:7" x14ac:dyDescent="0.35">
      <c r="B232" s="1">
        <v>45898</v>
      </c>
      <c r="D232" t="s">
        <v>131</v>
      </c>
      <c r="F232" s="2">
        <v>0</v>
      </c>
      <c r="G232" s="2">
        <v>4981.4799999999996</v>
      </c>
    </row>
    <row r="234" spans="2:7" x14ac:dyDescent="0.35">
      <c r="B234" s="1">
        <v>45870</v>
      </c>
      <c r="D234" t="s">
        <v>148</v>
      </c>
      <c r="F234" s="2">
        <v>0</v>
      </c>
      <c r="G234" s="2">
        <v>113.2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2026-01-14T16:02:14Z</dcterms:modified>
</cp:coreProperties>
</file>