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0C911B17-3A6B-40CC-9C58-B9B716E55DF5}" xr6:coauthVersionLast="47" xr6:coauthVersionMax="47" xr10:uidLastSave="{00000000-0000-0000-0000-000000000000}"/>
  <bookViews>
    <workbookView xWindow="-16320" yWindow="-11010" windowWidth="16440" windowHeight="28320" xr2:uid="{00000000-000D-0000-FFFF-FFFF00000000}"/>
  </bookViews>
  <sheets>
    <sheet name="Sheet1" sheetId="1" r:id="rId1"/>
    <sheet name="Cleane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F4" i="1"/>
  <c r="F2" i="1" s="1"/>
  <c r="G3" i="1"/>
  <c r="G2" i="1" s="1"/>
  <c r="F3" i="1"/>
</calcChain>
</file>

<file path=xl/sharedStrings.xml><?xml version="1.0" encoding="utf-8"?>
<sst xmlns="http://schemas.openxmlformats.org/spreadsheetml/2006/main" count="273" uniqueCount="103">
  <si>
    <t>date</t>
  </si>
  <si>
    <t>description</t>
  </si>
  <si>
    <t>amount</t>
  </si>
  <si>
    <t>diff</t>
  </si>
  <si>
    <t>stmt</t>
  </si>
  <si>
    <t>total</t>
  </si>
  <si>
    <t>Deposit ACH PNC BANK TYPE: ACCTVERIFY CO: PNC BANK Entry Class Code: PPD</t>
  </si>
  <si>
    <t>Withdrawal Adjustment 1114251724900701</t>
  </si>
  <si>
    <t>Deposit Dividend 0.900% Annual Percentage Yield Earned 0.900% for period 10/01/25 to 10/31/25</t>
  </si>
  <si>
    <t>Deposit Dividend 0.900% Annual Percentage Yield Earned 0.900% for period 11/01/25 to 11/30/25</t>
  </si>
  <si>
    <t>Deposit ACH IEHP CLAIMS2 TYPE: CLAIMS CO: IEHP CLAIMS2 Entry Class Code: CCD</t>
  </si>
  <si>
    <t>Deposit Dividend 0.900% Annual Percentage Yield Earned 0.900% for period 12/01/25 to 12/31/25</t>
  </si>
  <si>
    <t>Deposit ACH CHASE CREDIT CRD TYPE: RWRD RDM CO: CHASE CREDIT CRD Entry Class Code: PPD</t>
  </si>
  <si>
    <t>Deposit by Check</t>
  </si>
  <si>
    <t>Deposit ACH IEHP CLAIMS2 TYPE: CLAIMS CO: IEHP CLAIMS2</t>
  </si>
  <si>
    <t>Missing Description</t>
  </si>
  <si>
    <t>ACURA PMT</t>
  </si>
  <si>
    <t>ACURA PMT TYPE: 8669502439.00 CO: ACURA PMT Entry Class Code: PPD</t>
  </si>
  <si>
    <t>ADT SECURITY*40 1501 YAMATO RD BOCA RATON</t>
  </si>
  <si>
    <t>ADT SECURITY*40 1501 YAMATO RD BOCA RATON FL Date 10/17/25 5.00 204984616 0 4814.00</t>
  </si>
  <si>
    <t>ADT SECURITY*40 1501 YAMATO RD BOCA RATON FL Date 11/16/25 8 205306664 8 4814</t>
  </si>
  <si>
    <t>ADT SECURITY*40 1501 YAMATO RD BOCA RATON FL Date 11/17/25 2 205766635 0 4814</t>
  </si>
  <si>
    <t>ADT SECURITY*40 1501 YAMATO RD BOCA RATON FL Date 12/17/25 5.00 207073444 8 4814.00</t>
  </si>
  <si>
    <t>ADT SECURITY*40 1501 YAMATO RD WWW.ADT.COM FL Date 10/16/25 7.00 204519915 5 4814.00</t>
  </si>
  <si>
    <t>AETNA</t>
  </si>
  <si>
    <t>AETNA TYPE: SGR CO: AETNA Entry Class Code: CCD</t>
  </si>
  <si>
    <t>AMTRUST NA TYPE: PAYMENT CO: AMTRUST NA Entry Class Code: CCD</t>
  </si>
  <si>
    <t>APPLE VALLEY GA APPLE VALLEY CA</t>
  </si>
  <si>
    <t>ARCO #42405 AMPM BEAUMONT CA</t>
  </si>
  <si>
    <t>ARCO #42417 AMPM RANCHO CUCAMO CA</t>
  </si>
  <si>
    <t>AT&amp;T DEVICE/EQU 208 S AKARD ST DALLAS TX</t>
  </si>
  <si>
    <t>ATT* BILL PAYME 4331 COMMUNICATIONS DR DALLAS TX Date 10/06/25 5.00 505642913 8 4814.00</t>
  </si>
  <si>
    <t>ATT* BILL PAYME 4331 COMMUNICATIONS DR DALLAS TX Date 11/06/25 7 540759187 0 4814</t>
  </si>
  <si>
    <t>ATT* BILL PAYME 4331 COMMUNICATIONS DR DALLAS TX Date 12/07/25 7.00 574053544 4 4814.00</t>
  </si>
  <si>
    <t>BARNESNOBLE Rancho Cucamo CA</t>
  </si>
  <si>
    <t>CARDMEMBER SERV TYPE: ELECT PYMT CO: CARDMEMBER SERV Entry Class Code: CCD</t>
  </si>
  <si>
    <t>CHASE CREDIT CRD TYPE: EPAY CO: CHASE CREDIT CRD NAME: JAVIER F LOPEZ II Entry Class Code: WEB</t>
  </si>
  <si>
    <t>Commercenter TYPE: SIGONFILE CO: Commercenter Entry Class Code: CCD</t>
  </si>
  <si>
    <t>Commercenter--19 TYPE: SIGONFILE CO: Commercenter--19 Entry Class Code: CCD</t>
  </si>
  <si>
    <t>CRR INCORPORATE 11292 WESTERN AVE STANTON CA Date 11/26/25 1 173320077 6 4900</t>
  </si>
  <si>
    <t>DEL TACO 0768 6341 HAVEN AVENUE RANCHO CUCAMO CA Date 11/27/25 4 100072305 3 5814</t>
  </si>
  <si>
    <t>Dicks Sporting 14500 Bear Valley Road Victorville CA Date 12/23/25 2.00 5357014471 1.00 5941.00</t>
  </si>
  <si>
    <t>Employers Insura TYPE: debitpmt CO: Employers Insura NAME: ACH PYMT EPIC Entry Class Code: WEB</t>
  </si>
  <si>
    <t>FAITHS HALLMARK 8754 19TH ST ALTA LOMA CA</t>
  </si>
  <si>
    <t>FARMER BOYS 117 1170 FOOTHILL BLVD UPLAND CA Date 11/29/25 0 000474937 7 5814</t>
  </si>
  <si>
    <t>GO. CALENDARS,G 6411.00 BURLESON ROAD AUSTIN TX</t>
  </si>
  <si>
    <t>Guideline Retire TYPE: Guideline CO: Guideline Retire Entry Class Code: CCD</t>
  </si>
  <si>
    <t>HADLEY'S FRUIT ORCHARD CABAZON CA</t>
  </si>
  <si>
    <t>LITTLE CAESARS 9799 BASELINE RD. RANCHO CUCAMO CA</t>
  </si>
  <si>
    <t>NEWREZ-SHELLPOIN TYPE: WEB PMTS CO: NEWREZ-SHELLPOIN NAME: LOPEZ II JAVIER FERNA Entry Class Code: WEB</t>
  </si>
  <si>
    <t>NORTHWESTERN MU TYPE: ISA PYMENT CO: NORTHWESTERN MU Entry Class Code: PPD</t>
  </si>
  <si>
    <t>NSM DBAMR.COOPER TYPE: NSM DBAMR CO: NSM DBAMR.COOPER NAME: JAVIER *LOPEZ Entry Class Code: WEB</t>
  </si>
  <si>
    <t>OLSON DUNCAN INS TYPE: J2750 OOFF CO: OLSON DUNCAN INS Entry Class Code: CCD</t>
  </si>
  <si>
    <t>PAYPAL TYPE: INST XFER CO: PAYPAL NAME: JAVIER LOPEZ Entry Class Code: WEB</t>
  </si>
  <si>
    <t>PLIC-SBD TYPE: INSUR CLM CO: PLIC-SBD Entry Class Code: CCD</t>
  </si>
  <si>
    <t>PNC BANK TYPE: ACCTVERIFY CO: PNC BANK NAME: ASSURE BEHAVIORALSER Entry Class Code: WEB</t>
  </si>
  <si>
    <t>PNC LENDING TYPE: PAYMENT CO: PNC LENDING NAME: ASSURE BEHAVIORAL SE Entry Class Code: WEB</t>
  </si>
  <si>
    <t>PNCBK CK WEBXFR TYPE: TRANSFER CO: PNCBK CK WEBXFR Entry Class Code: CTX</t>
  </si>
  <si>
    <t>RIVERSDE UTILITY TYPE: WEB_PAY CO: RIVERSDE UTILITY NAME: JAVIER LOPEZ Entry Class Code: WEB</t>
  </si>
  <si>
    <t>SAET BYUL ASIAN 9555 MAGNOLIA AVE ST RIVERSIDE CA Date 12/11/25 5.00 293439890 2 5499.00</t>
  </si>
  <si>
    <t>SAN BERNARDINO TYPE: TAX COLL. CO: SAN BERNARDINO Entry Class Code: CCD</t>
  </si>
  <si>
    <t>SHELL OIL 12638.00 2403 E HOUSTON ST CLEVELAND TX Date 12/08/25 0.00 575923632 5 5541.00</t>
  </si>
  <si>
    <t>SO CAL EDISON CO</t>
  </si>
  <si>
    <t>SO CAL EDISON CO TYPE: BILL PAYMT CO: SO CAL EDISON CO NAME: ASSURE BEHAVIORAL SERV Entry Class Code: WEB</t>
  </si>
  <si>
    <t>SO CAL EDISON CO TYPE: BILL PAYMT CO: SO CAL EDISON CO NAME: Lopez F Javier Entry Class Code: WEB</t>
  </si>
  <si>
    <t>SoCalGas TYPE: PAID SCGC CO: SoCalGas NAME: 301601474297233154.00 Entry Class Code: WEB</t>
  </si>
  <si>
    <t>Spectrum 12405 Powerscourt Dr 855-707-7328 MO Date 11/19/25 6 206274711 8 4899</t>
  </si>
  <si>
    <t>Spectrum 12405.00 Powerscourt Dr. 855-707-7328 MO Date 10/19/25 7.00 205402111 8 4899.00</t>
  </si>
  <si>
    <t>Spectrum 12405.00 Powerscourt Dr. 855-707-7328 MO Date 12/19/25 3.00 207664750 1 4899.00</t>
  </si>
  <si>
    <t>SQ *SHAKE SHACK 1201 Lake Woodlands Dr. The Woodlands TX Date 12/08/25 6.00 203569446 8 5814.00</t>
  </si>
  <si>
    <t>SSBTRUSTOPS TYPE: P/R Contr CO: SSBTRUSTOPS Entry Class Code: CCD</t>
  </si>
  <si>
    <t>TARGET T-0761 Hemet CA</t>
  </si>
  <si>
    <t>THE POKE PLACE 10710 FOOTHILL BLVD #12 RANCHO CUCAMO CA Date 11/26/25 9 170541169 9 5814</t>
  </si>
  <si>
    <t>To inquire or verify EFT transactions ***8347 12/01/25 Thru 12/31/25 4 of 5 write us at: P.O. Box 908.00 Riverside, CA 92502-0908 or Phone: (888) 883-7228 P.O. Box 908.00 Riverside, CA 92502-0908</t>
  </si>
  <si>
    <t>TOTAL WINE AND RANCHO CUCAMO CA</t>
  </si>
  <si>
    <t>TOYOTA ACH RTL TYPE: 10052025.00 CO: TOYOTA ACH RTL NAME: JAVIER F LOPEZ Entry Class Code: WEB</t>
  </si>
  <si>
    <t>TOYOTA ACH RTL TYPE: 10122025.00 CO: TOYOTA ACH RTL NAME: JAVIER F LOPEZ Entry Class Code: WEB</t>
  </si>
  <si>
    <t>TOYOTA ACH RTL TYPE: 10192025.00 CO: TOYOTA ACH RTL NAME: JAVIER F LOPEZ Entry Class Code: WEB</t>
  </si>
  <si>
    <t>TOYOTA ACH RTL TYPE: 10262025.00 CO: TOYOTA ACH RTL NAME: JAVIER F LOPEZ Entry Class Code: WEB</t>
  </si>
  <si>
    <t>TOYOTA ACH RTL TYPE: 11022025 CO: TOYOTA ACH RTL NAME: JAVIER F LOPEZ Entry Class Code: WEB</t>
  </si>
  <si>
    <t>TOYOTA ACH RTL TYPE: 11092025 CO: TOYOTA ACH RTL NAME: JAVIER F LOPEZ Entry Class Code: WEB</t>
  </si>
  <si>
    <t>TOYOTA ACH RTL TYPE: 11162025 CO: TOYOTA ACH RTL NAME: JAVIER F LOPEZ Entry Class Code: WEB</t>
  </si>
  <si>
    <t>TOYOTA ACH RTL TYPE: 11232025 CO: TOYOTA ACH RTL NAME: JAVIER F LOPEZ Entry Class Code: WEB</t>
  </si>
  <si>
    <t>TOYOTA ACH RTL TYPE: 12012025.00 CO: TOYOTA ACH RTL NAME: JAVIER F LOPEZ Entry Class Code: WEB</t>
  </si>
  <si>
    <t>TOYOTA ACH RTL TYPE: 12072025.00 CO: TOYOTA ACH RTL NAME: JAVIER F LOPEZ Entry Class Code: WEB</t>
  </si>
  <si>
    <t>TOYOTA ACH RTL TYPE: 12152025.00 CO: TOYOTA ACH RTL NAME: JAVIER F LOPEZ Entry Class Code: WEB</t>
  </si>
  <si>
    <t>TOYOTA ACH RTL TYPE: 12212025.00 CO: TOYOTA ACH RTL NAME: JAVIER F LOPEZ Entry Class Code: WEB</t>
  </si>
  <si>
    <t>TOYOTA ACH RTL TYPE: 12282025.00 CO: TOYOTA ACH RTL NAME: JAVIER F LOPEZ Entry Class Code: WEB</t>
  </si>
  <si>
    <t>Tray1 3.00 Account No. Statement Period Page</t>
  </si>
  <si>
    <t>URBAN OUTFITTER 1201.00 LAKE WOODLANDS DR. SPRING TX</t>
  </si>
  <si>
    <t>WIENERSCHNITZEL 12719 Foothill Blvd RANCHO CUCAMO CA Date 12/28/25 4.00 005204223 0 5814.00</t>
  </si>
  <si>
    <t>Withdrawal</t>
  </si>
  <si>
    <t>Withdrawal by Wire Outgoing Wire 38641 BIDADOO, INC. JPMCHASE</t>
  </si>
  <si>
    <t>Withdrawal Starter Checks</t>
  </si>
  <si>
    <t>Withdrawal Stop Payment Fee</t>
  </si>
  <si>
    <t>Withdrawal Wire Fee 38641</t>
  </si>
  <si>
    <t>YOGURTLAND TERR 10798 FOOTHILL BLVD SUI RANCHO CUCAMO CA Date 12/21/25 9.00 0004100039 0.00 5814.00</t>
  </si>
  <si>
    <t>GUSTO TYPE: REM</t>
  </si>
  <si>
    <t>GUSTO TYPE: FEE</t>
  </si>
  <si>
    <t>GUSTO</t>
  </si>
  <si>
    <t>GUSTO TYPE: CND</t>
  </si>
  <si>
    <t>GUSTO TYPE: NET</t>
  </si>
  <si>
    <t>GUSTO TYPE: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</si>
</sst>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5" formatCode="yyyy\-mm\-dd\ hh:mm:ss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Aptos Narrow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14" fontId="0" fillId="0" borderId="0" xfId="0" applyNumberFormat="1"/>
    <xf numFmtId="44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G285"/>
  <sheetViews>
    <sheetView tabSelected="1" topLeftCell="A4" workbookViewId="0">
      <selection activeCell="C11" sqref="C11"/>
    </sheetView>
  </sheetViews>
  <sheetFormatPr defaultRowHeight="14.5" x14ac:dyDescent="0.35"/>
  <cols>
    <col min="1" max="1" width="9.08984375" bestFit="1" customWidth="1"/>
    <col min="2" max="2" width="11.26953125" bestFit="1" customWidth="1"/>
    <col min="3" max="3" width="11.26953125" customWidth="1"/>
    <col min="4" max="4" width="182.81640625" bestFit="1" customWidth="1"/>
    <col min="5" max="5" width="7.453125" bestFit="1" customWidth="1"/>
    <col min="6" max="7" width="15" style="2" bestFit="1" customWidth="1"/>
  </cols>
  <sheetData>
    <row r="2" spans="2:7" x14ac:dyDescent="0.35">
      <c r="E2" t="s">
        <v>3</v>
      </c>
      <c r="F2" s="2">
        <f>F4-F3</f>
        <v>0</v>
      </c>
      <c r="G2" s="2">
        <f t="shared" ref="G2" si="0">G4-G3</f>
        <v>-911406.60000000021</v>
      </c>
    </row>
    <row r="3" spans="2:7" x14ac:dyDescent="0.35">
      <c r="E3" t="s">
        <v>4</v>
      </c>
      <c r="F3" s="2">
        <f>518062.23+447504.11+495879.78</f>
        <v>1461446.12</v>
      </c>
      <c r="G3" s="2">
        <f>405944.77+470878.03+495068.54</f>
        <v>1371891.34</v>
      </c>
    </row>
    <row r="4" spans="2:7" x14ac:dyDescent="0.35">
      <c r="E4" t="s">
        <v>5</v>
      </c>
      <c r="F4" s="2">
        <f>SUM(F7:F186)</f>
        <v>1461446.1199999999</v>
      </c>
      <c r="G4" s="2">
        <f>SUM(G7:G186)</f>
        <v>460484.73999999987</v>
      </c>
    </row>
    <row r="6" spans="2:7" x14ac:dyDescent="0.35">
      <c r="B6" t="s">
        <v>0</v>
      </c>
      <c r="D6" t="s">
        <v>1</v>
      </c>
      <c r="F6" s="2" t="s">
        <v>2</v>
      </c>
    </row>
    <row r="7" spans="2:7" x14ac:dyDescent="0.35">
      <c r="B7" s="1">
        <v>45959</v>
      </c>
      <c r="C7" s="1"/>
      <c r="D7" t="s">
        <v>6</v>
      </c>
      <c r="F7" s="2">
        <v>0.21</v>
      </c>
      <c r="G7" s="2">
        <v>0</v>
      </c>
    </row>
    <row r="8" spans="2:7" x14ac:dyDescent="0.35">
      <c r="B8" s="1">
        <v>45959</v>
      </c>
      <c r="C8" s="1"/>
      <c r="D8" t="s">
        <v>6</v>
      </c>
      <c r="F8" s="2">
        <v>0.27</v>
      </c>
      <c r="G8" s="2">
        <v>0</v>
      </c>
    </row>
    <row r="9" spans="2:7" x14ac:dyDescent="0.35">
      <c r="B9" s="1">
        <v>45975</v>
      </c>
      <c r="C9" s="1"/>
      <c r="D9" t="s">
        <v>7</v>
      </c>
      <c r="F9" s="2">
        <v>25</v>
      </c>
      <c r="G9" s="2">
        <v>0</v>
      </c>
    </row>
    <row r="10" spans="2:7" x14ac:dyDescent="0.35">
      <c r="B10" s="1">
        <v>45961</v>
      </c>
      <c r="C10" s="1"/>
      <c r="D10" t="s">
        <v>8</v>
      </c>
      <c r="F10" s="2">
        <v>207.03</v>
      </c>
      <c r="G10" s="2">
        <v>0</v>
      </c>
    </row>
    <row r="11" spans="2:7" x14ac:dyDescent="0.35">
      <c r="B11" s="1">
        <v>45991</v>
      </c>
      <c r="C11" s="1"/>
      <c r="D11" t="s">
        <v>9</v>
      </c>
      <c r="F11" s="2">
        <v>219.02</v>
      </c>
      <c r="G11" s="2">
        <v>0</v>
      </c>
    </row>
    <row r="12" spans="2:7" x14ac:dyDescent="0.35">
      <c r="B12" s="1">
        <v>46021</v>
      </c>
      <c r="C12" s="1"/>
      <c r="D12" t="s">
        <v>10</v>
      </c>
      <c r="F12" s="2">
        <v>248.22</v>
      </c>
      <c r="G12" s="2">
        <v>0</v>
      </c>
    </row>
    <row r="13" spans="2:7" x14ac:dyDescent="0.35">
      <c r="B13" s="1">
        <v>46022</v>
      </c>
      <c r="C13" s="1"/>
      <c r="D13" t="s">
        <v>11</v>
      </c>
      <c r="F13" s="2">
        <v>254.57</v>
      </c>
      <c r="G13" s="2">
        <v>0</v>
      </c>
    </row>
    <row r="14" spans="2:7" x14ac:dyDescent="0.35">
      <c r="B14" s="1">
        <v>45944</v>
      </c>
      <c r="C14" s="1"/>
      <c r="D14" t="s">
        <v>12</v>
      </c>
      <c r="F14" s="2">
        <v>782.13</v>
      </c>
      <c r="G14" s="2">
        <v>0</v>
      </c>
    </row>
    <row r="15" spans="2:7" x14ac:dyDescent="0.35">
      <c r="B15" s="1">
        <v>46008</v>
      </c>
      <c r="C15" s="1"/>
      <c r="D15" t="s">
        <v>10</v>
      </c>
      <c r="F15" s="2">
        <v>908.69</v>
      </c>
      <c r="G15" s="2">
        <v>0</v>
      </c>
    </row>
    <row r="16" spans="2:7" x14ac:dyDescent="0.35">
      <c r="B16" s="1">
        <v>45975</v>
      </c>
      <c r="C16" s="1"/>
      <c r="D16" t="s">
        <v>13</v>
      </c>
      <c r="F16" s="2">
        <v>1544.58</v>
      </c>
      <c r="G16" s="2">
        <v>0</v>
      </c>
    </row>
    <row r="17" spans="2:7" x14ac:dyDescent="0.35">
      <c r="B17" s="1">
        <v>45937</v>
      </c>
      <c r="C17" s="1"/>
      <c r="D17" t="s">
        <v>10</v>
      </c>
      <c r="F17" s="2">
        <v>2649.72</v>
      </c>
      <c r="G17" s="2">
        <v>0</v>
      </c>
    </row>
    <row r="18" spans="2:7" x14ac:dyDescent="0.35">
      <c r="B18" s="1">
        <v>45995</v>
      </c>
      <c r="C18" s="1"/>
      <c r="D18" t="s">
        <v>10</v>
      </c>
      <c r="F18" s="2">
        <v>3283.22</v>
      </c>
      <c r="G18" s="2">
        <v>0</v>
      </c>
    </row>
    <row r="19" spans="2:7" x14ac:dyDescent="0.35">
      <c r="B19" s="1">
        <v>45945</v>
      </c>
      <c r="C19" s="1"/>
      <c r="D19" t="s">
        <v>10</v>
      </c>
      <c r="F19" s="2">
        <v>4249.72</v>
      </c>
      <c r="G19" s="2">
        <v>0</v>
      </c>
    </row>
    <row r="20" spans="2:7" x14ac:dyDescent="0.35">
      <c r="B20" s="1">
        <v>45953</v>
      </c>
      <c r="C20" s="1"/>
      <c r="D20" t="s">
        <v>10</v>
      </c>
      <c r="F20" s="2">
        <v>7245.87</v>
      </c>
      <c r="G20" s="2">
        <v>0</v>
      </c>
    </row>
    <row r="21" spans="2:7" x14ac:dyDescent="0.35">
      <c r="B21" s="1">
        <v>45987</v>
      </c>
      <c r="C21" s="1"/>
      <c r="D21" t="s">
        <v>10</v>
      </c>
      <c r="F21" s="2">
        <v>8119.73</v>
      </c>
      <c r="G21" s="2">
        <v>0</v>
      </c>
    </row>
    <row r="22" spans="2:7" x14ac:dyDescent="0.35">
      <c r="B22" s="1">
        <v>45931</v>
      </c>
      <c r="C22" s="1"/>
      <c r="D22" t="s">
        <v>10</v>
      </c>
      <c r="F22" s="2">
        <v>14505.15</v>
      </c>
      <c r="G22" s="2">
        <v>0</v>
      </c>
    </row>
    <row r="23" spans="2:7" x14ac:dyDescent="0.35">
      <c r="B23" s="1">
        <v>45975</v>
      </c>
      <c r="C23" s="1"/>
      <c r="D23" t="s">
        <v>10</v>
      </c>
      <c r="F23" s="2">
        <v>44206.400000000001</v>
      </c>
      <c r="G23" s="2">
        <v>0</v>
      </c>
    </row>
    <row r="24" spans="2:7" x14ac:dyDescent="0.35">
      <c r="B24" s="1">
        <v>45959</v>
      </c>
      <c r="C24" s="1"/>
      <c r="D24" t="s">
        <v>14</v>
      </c>
      <c r="F24" s="2">
        <v>50797.120000000003</v>
      </c>
      <c r="G24" s="2">
        <v>0</v>
      </c>
    </row>
    <row r="25" spans="2:7" x14ac:dyDescent="0.35">
      <c r="B25" s="1">
        <v>45961</v>
      </c>
      <c r="C25" s="1"/>
      <c r="D25" t="s">
        <v>10</v>
      </c>
      <c r="F25" s="2">
        <v>64426.47</v>
      </c>
      <c r="G25" s="2">
        <v>0</v>
      </c>
    </row>
    <row r="26" spans="2:7" x14ac:dyDescent="0.35">
      <c r="B26" s="1">
        <v>46002</v>
      </c>
      <c r="C26" s="1"/>
      <c r="D26" t="s">
        <v>10</v>
      </c>
      <c r="F26" s="2">
        <v>67076.81</v>
      </c>
      <c r="G26" s="2">
        <v>0</v>
      </c>
    </row>
    <row r="27" spans="2:7" x14ac:dyDescent="0.35">
      <c r="B27" s="1">
        <v>45965</v>
      </c>
      <c r="C27" s="1"/>
      <c r="D27" t="s">
        <v>10</v>
      </c>
      <c r="F27" s="2">
        <v>71049.070000000007</v>
      </c>
      <c r="G27" s="2">
        <v>0</v>
      </c>
    </row>
    <row r="28" spans="2:7" x14ac:dyDescent="0.35">
      <c r="B28" s="1">
        <v>46001</v>
      </c>
      <c r="C28" s="1"/>
      <c r="D28" t="s">
        <v>10</v>
      </c>
      <c r="F28" s="2">
        <v>81868.63</v>
      </c>
      <c r="G28" s="2">
        <v>0</v>
      </c>
    </row>
    <row r="29" spans="2:7" x14ac:dyDescent="0.35">
      <c r="B29" s="1">
        <v>46015</v>
      </c>
      <c r="C29" s="1"/>
      <c r="D29" t="s">
        <v>10</v>
      </c>
      <c r="F29" s="2">
        <v>84157.13</v>
      </c>
      <c r="G29" s="2">
        <v>0</v>
      </c>
    </row>
    <row r="30" spans="2:7" x14ac:dyDescent="0.35">
      <c r="B30" s="1">
        <v>45947</v>
      </c>
      <c r="C30" s="1"/>
      <c r="D30" t="s">
        <v>10</v>
      </c>
      <c r="F30" s="2">
        <v>88971.28</v>
      </c>
      <c r="G30" s="2">
        <v>0</v>
      </c>
    </row>
    <row r="31" spans="2:7" x14ac:dyDescent="0.35">
      <c r="B31" s="1">
        <v>45940</v>
      </c>
      <c r="C31" s="1"/>
      <c r="D31" t="s">
        <v>10</v>
      </c>
      <c r="F31" s="2">
        <v>89312.92</v>
      </c>
      <c r="G31" s="2">
        <v>0</v>
      </c>
    </row>
    <row r="32" spans="2:7" x14ac:dyDescent="0.35">
      <c r="B32" s="1">
        <v>45952</v>
      </c>
      <c r="C32" s="1"/>
      <c r="D32" t="s">
        <v>10</v>
      </c>
      <c r="F32" s="2">
        <v>92820.75</v>
      </c>
      <c r="G32" s="2">
        <v>0</v>
      </c>
    </row>
    <row r="33" spans="2:7" x14ac:dyDescent="0.35">
      <c r="B33" s="1">
        <v>45980</v>
      </c>
      <c r="C33" s="1"/>
      <c r="D33" t="s">
        <v>10</v>
      </c>
      <c r="F33" s="2">
        <v>100143.86</v>
      </c>
      <c r="G33" s="2">
        <v>0</v>
      </c>
    </row>
    <row r="34" spans="2:7" x14ac:dyDescent="0.35">
      <c r="B34" s="1">
        <v>45932</v>
      </c>
      <c r="C34" s="1"/>
      <c r="D34" t="s">
        <v>10</v>
      </c>
      <c r="F34" s="2">
        <v>102093.59</v>
      </c>
      <c r="G34" s="2">
        <v>0</v>
      </c>
    </row>
    <row r="35" spans="2:7" x14ac:dyDescent="0.35">
      <c r="B35" s="1">
        <v>45967</v>
      </c>
      <c r="C35" s="1"/>
      <c r="D35" t="s">
        <v>10</v>
      </c>
      <c r="F35" s="2">
        <v>104561.08</v>
      </c>
      <c r="G35" s="2">
        <v>0</v>
      </c>
    </row>
    <row r="36" spans="2:7" x14ac:dyDescent="0.35">
      <c r="B36" s="1">
        <v>45981</v>
      </c>
      <c r="C36" s="1"/>
      <c r="D36" t="s">
        <v>10</v>
      </c>
      <c r="F36" s="2">
        <v>117635.37</v>
      </c>
      <c r="G36" s="2">
        <v>0</v>
      </c>
    </row>
    <row r="37" spans="2:7" x14ac:dyDescent="0.35">
      <c r="B37" s="1">
        <v>46010</v>
      </c>
      <c r="C37" s="1"/>
      <c r="D37" t="s">
        <v>10</v>
      </c>
      <c r="F37" s="2">
        <v>120067.76</v>
      </c>
      <c r="G37" s="2">
        <v>0</v>
      </c>
    </row>
    <row r="38" spans="2:7" x14ac:dyDescent="0.35">
      <c r="B38" s="1">
        <v>45994</v>
      </c>
      <c r="C38" s="1"/>
      <c r="D38" t="s">
        <v>10</v>
      </c>
      <c r="F38" s="2">
        <v>138014.75</v>
      </c>
      <c r="G38" s="2">
        <v>0</v>
      </c>
    </row>
    <row r="39" spans="2:7" x14ac:dyDescent="0.35">
      <c r="B39" s="1"/>
      <c r="C39" s="1"/>
    </row>
    <row r="40" spans="2:7" x14ac:dyDescent="0.35">
      <c r="B40" s="1">
        <v>45940</v>
      </c>
      <c r="C40" s="1"/>
      <c r="D40" t="s">
        <v>15</v>
      </c>
      <c r="E40">
        <v>166</v>
      </c>
      <c r="F40" s="2">
        <v>0</v>
      </c>
      <c r="G40" s="2">
        <v>37000</v>
      </c>
    </row>
    <row r="41" spans="2:7" x14ac:dyDescent="0.35">
      <c r="B41" s="1">
        <v>45944</v>
      </c>
      <c r="C41" s="1"/>
      <c r="D41" t="s">
        <v>15</v>
      </c>
      <c r="E41">
        <v>181</v>
      </c>
      <c r="F41" s="2">
        <v>0</v>
      </c>
      <c r="G41" s="2">
        <v>1812</v>
      </c>
    </row>
    <row r="42" spans="2:7" x14ac:dyDescent="0.35">
      <c r="B42" s="1">
        <v>45978</v>
      </c>
      <c r="C42" s="1"/>
      <c r="D42" t="s">
        <v>15</v>
      </c>
      <c r="E42">
        <v>182</v>
      </c>
      <c r="F42" s="2">
        <v>0</v>
      </c>
      <c r="G42" s="2">
        <v>801.58</v>
      </c>
    </row>
    <row r="43" spans="2:7" x14ac:dyDescent="0.35">
      <c r="B43" s="1">
        <v>45958</v>
      </c>
      <c r="C43" s="1"/>
      <c r="D43" t="s">
        <v>15</v>
      </c>
      <c r="E43">
        <v>183</v>
      </c>
      <c r="F43" s="2">
        <v>0</v>
      </c>
      <c r="G43" s="2">
        <v>57500</v>
      </c>
    </row>
    <row r="44" spans="2:7" x14ac:dyDescent="0.35">
      <c r="B44" s="1">
        <v>45957</v>
      </c>
      <c r="C44" s="1"/>
      <c r="D44" t="s">
        <v>15</v>
      </c>
      <c r="E44">
        <v>184</v>
      </c>
      <c r="F44" s="2">
        <v>0</v>
      </c>
      <c r="G44" s="2">
        <v>3990</v>
      </c>
    </row>
    <row r="45" spans="2:7" x14ac:dyDescent="0.35">
      <c r="B45" s="1">
        <v>45987</v>
      </c>
      <c r="C45" s="1"/>
      <c r="D45" t="s">
        <v>15</v>
      </c>
      <c r="E45">
        <v>188</v>
      </c>
      <c r="F45" s="2">
        <v>0</v>
      </c>
      <c r="G45" s="2">
        <v>75000</v>
      </c>
    </row>
    <row r="46" spans="2:7" x14ac:dyDescent="0.35">
      <c r="B46" s="1">
        <v>45999</v>
      </c>
      <c r="C46" s="1"/>
      <c r="D46" t="s">
        <v>15</v>
      </c>
      <c r="E46">
        <v>189</v>
      </c>
      <c r="F46" s="2">
        <v>0</v>
      </c>
      <c r="G46" s="2">
        <v>9358.77</v>
      </c>
    </row>
    <row r="47" spans="2:7" x14ac:dyDescent="0.35">
      <c r="B47" s="1">
        <v>45989</v>
      </c>
      <c r="C47" s="1"/>
      <c r="D47" t="s">
        <v>15</v>
      </c>
      <c r="E47">
        <v>190</v>
      </c>
      <c r="F47" s="2">
        <v>0</v>
      </c>
      <c r="G47" s="2">
        <v>3460</v>
      </c>
    </row>
    <row r="48" spans="2:7" x14ac:dyDescent="0.35">
      <c r="B48" s="1">
        <v>46022</v>
      </c>
      <c r="C48" s="1"/>
      <c r="D48" t="s">
        <v>15</v>
      </c>
      <c r="E48">
        <v>192</v>
      </c>
      <c r="F48" s="2">
        <v>0</v>
      </c>
      <c r="G48" s="2">
        <v>953</v>
      </c>
    </row>
    <row r="49" spans="2:7" x14ac:dyDescent="0.35">
      <c r="B49" s="1">
        <v>45946</v>
      </c>
      <c r="C49" s="1"/>
      <c r="D49" t="s">
        <v>15</v>
      </c>
      <c r="E49">
        <v>74</v>
      </c>
      <c r="F49" s="2">
        <v>0</v>
      </c>
      <c r="G49" s="2">
        <v>519.19000000000005</v>
      </c>
    </row>
    <row r="50" spans="2:7" x14ac:dyDescent="0.35">
      <c r="B50" s="1">
        <v>45957</v>
      </c>
      <c r="C50" s="1"/>
      <c r="D50" t="s">
        <v>15</v>
      </c>
      <c r="E50">
        <v>76</v>
      </c>
      <c r="F50" s="2">
        <v>0</v>
      </c>
      <c r="G50" s="2">
        <v>974.46</v>
      </c>
    </row>
    <row r="51" spans="2:7" x14ac:dyDescent="0.35">
      <c r="B51" s="1">
        <v>45982</v>
      </c>
      <c r="C51" s="1"/>
      <c r="D51" t="s">
        <v>15</v>
      </c>
      <c r="E51">
        <v>99999</v>
      </c>
      <c r="F51" s="2">
        <v>0</v>
      </c>
      <c r="G51" s="2">
        <v>743.91</v>
      </c>
    </row>
    <row r="52" spans="2:7" x14ac:dyDescent="0.35">
      <c r="B52" s="1"/>
      <c r="C52" s="1"/>
      <c r="G52" s="2">
        <v>0</v>
      </c>
    </row>
    <row r="53" spans="2:7" x14ac:dyDescent="0.35">
      <c r="B53" s="1">
        <v>45993</v>
      </c>
      <c r="C53" s="1"/>
      <c r="D53" t="s">
        <v>16</v>
      </c>
      <c r="F53" s="2">
        <v>0</v>
      </c>
      <c r="G53" s="2">
        <v>637.38</v>
      </c>
    </row>
    <row r="54" spans="2:7" x14ac:dyDescent="0.35">
      <c r="B54" s="1">
        <v>45931</v>
      </c>
      <c r="C54" s="1"/>
      <c r="D54" t="s">
        <v>17</v>
      </c>
      <c r="F54" s="2">
        <v>0</v>
      </c>
      <c r="G54" s="2">
        <v>637.38</v>
      </c>
    </row>
    <row r="55" spans="2:7" x14ac:dyDescent="0.35">
      <c r="B55" s="1">
        <v>45961</v>
      </c>
      <c r="C55" s="1"/>
      <c r="D55" t="s">
        <v>17</v>
      </c>
      <c r="F55" s="2">
        <v>0</v>
      </c>
      <c r="G55" s="2">
        <v>637.38</v>
      </c>
    </row>
    <row r="56" spans="2:7" x14ac:dyDescent="0.35">
      <c r="B56" s="1">
        <v>46022</v>
      </c>
      <c r="C56" s="1"/>
      <c r="D56" t="s">
        <v>17</v>
      </c>
      <c r="F56" s="2">
        <v>0</v>
      </c>
      <c r="G56" s="2">
        <v>637.38</v>
      </c>
    </row>
    <row r="57" spans="2:7" x14ac:dyDescent="0.35">
      <c r="B57" s="1">
        <v>46008</v>
      </c>
      <c r="C57" s="1"/>
      <c r="D57" t="s">
        <v>18</v>
      </c>
      <c r="F57" s="2">
        <v>0</v>
      </c>
      <c r="G57" s="2">
        <v>46.64</v>
      </c>
    </row>
    <row r="58" spans="2:7" x14ac:dyDescent="0.35">
      <c r="B58" s="1">
        <v>45948</v>
      </c>
      <c r="C58" s="1"/>
      <c r="D58" t="s">
        <v>19</v>
      </c>
      <c r="F58" s="2">
        <v>0</v>
      </c>
      <c r="G58" s="2">
        <v>55.43</v>
      </c>
    </row>
    <row r="59" spans="2:7" x14ac:dyDescent="0.35">
      <c r="B59" s="1">
        <v>45978</v>
      </c>
      <c r="C59" s="1"/>
      <c r="D59" t="s">
        <v>20</v>
      </c>
      <c r="F59" s="2">
        <v>0</v>
      </c>
      <c r="G59" s="2">
        <v>46.64</v>
      </c>
    </row>
    <row r="60" spans="2:7" x14ac:dyDescent="0.35">
      <c r="B60" s="1">
        <v>45979</v>
      </c>
      <c r="C60" s="1"/>
      <c r="D60" t="s">
        <v>21</v>
      </c>
      <c r="F60" s="2">
        <v>0</v>
      </c>
      <c r="G60" s="2">
        <v>55.43</v>
      </c>
    </row>
    <row r="61" spans="2:7" x14ac:dyDescent="0.35">
      <c r="B61" s="1">
        <v>46009</v>
      </c>
      <c r="C61" s="1"/>
      <c r="D61" t="s">
        <v>22</v>
      </c>
      <c r="F61" s="2">
        <v>0</v>
      </c>
      <c r="G61" s="2">
        <v>55.43</v>
      </c>
    </row>
    <row r="62" spans="2:7" x14ac:dyDescent="0.35">
      <c r="B62" s="1">
        <v>45947</v>
      </c>
      <c r="C62" s="1"/>
      <c r="D62" t="s">
        <v>23</v>
      </c>
      <c r="F62" s="2">
        <v>0</v>
      </c>
      <c r="G62" s="2">
        <v>46.64</v>
      </c>
    </row>
    <row r="63" spans="2:7" x14ac:dyDescent="0.35">
      <c r="B63" s="1">
        <v>45932</v>
      </c>
      <c r="C63" s="1"/>
      <c r="D63" t="s">
        <v>24</v>
      </c>
      <c r="F63" s="2">
        <v>0</v>
      </c>
      <c r="G63" s="2">
        <v>4571.62</v>
      </c>
    </row>
    <row r="64" spans="2:7" x14ac:dyDescent="0.35">
      <c r="B64" s="1">
        <v>45964</v>
      </c>
      <c r="C64" s="1"/>
      <c r="D64" t="s">
        <v>25</v>
      </c>
      <c r="F64" s="2">
        <v>0</v>
      </c>
      <c r="G64" s="2">
        <v>4571.62</v>
      </c>
    </row>
    <row r="65" spans="2:7" x14ac:dyDescent="0.35">
      <c r="B65" s="1">
        <v>45993</v>
      </c>
      <c r="C65" s="1"/>
      <c r="D65" t="s">
        <v>25</v>
      </c>
      <c r="F65" s="2">
        <v>0</v>
      </c>
      <c r="G65" s="2">
        <v>4571.62</v>
      </c>
    </row>
    <row r="66" spans="2:7" x14ac:dyDescent="0.35">
      <c r="B66" s="1">
        <v>46021</v>
      </c>
      <c r="C66" s="1"/>
      <c r="D66" t="s">
        <v>26</v>
      </c>
      <c r="F66" s="2">
        <v>0</v>
      </c>
      <c r="G66" s="2">
        <v>776</v>
      </c>
    </row>
    <row r="67" spans="2:7" x14ac:dyDescent="0.35">
      <c r="B67" s="1">
        <v>45959</v>
      </c>
      <c r="C67" s="1"/>
      <c r="D67" t="s">
        <v>26</v>
      </c>
      <c r="F67" s="2">
        <v>0</v>
      </c>
      <c r="G67" s="2">
        <v>1114</v>
      </c>
    </row>
    <row r="68" spans="2:7" x14ac:dyDescent="0.35">
      <c r="B68" s="1">
        <v>45981</v>
      </c>
      <c r="C68" s="1"/>
      <c r="D68" t="s">
        <v>27</v>
      </c>
      <c r="F68" s="2">
        <v>0</v>
      </c>
      <c r="G68" s="2">
        <v>55</v>
      </c>
    </row>
    <row r="69" spans="2:7" x14ac:dyDescent="0.35">
      <c r="B69" s="1">
        <v>45951</v>
      </c>
      <c r="C69" s="1"/>
      <c r="D69" t="s">
        <v>27</v>
      </c>
      <c r="F69" s="2">
        <v>0</v>
      </c>
      <c r="G69" s="2">
        <v>61.21</v>
      </c>
    </row>
    <row r="70" spans="2:7" x14ac:dyDescent="0.35">
      <c r="B70" s="1">
        <v>45985</v>
      </c>
      <c r="C70" s="1"/>
      <c r="D70" t="s">
        <v>28</v>
      </c>
      <c r="F70" s="2">
        <v>0</v>
      </c>
      <c r="G70" s="2">
        <v>66.88</v>
      </c>
    </row>
    <row r="71" spans="2:7" x14ac:dyDescent="0.35">
      <c r="B71" s="1">
        <v>45988</v>
      </c>
      <c r="C71" s="1"/>
      <c r="D71" t="s">
        <v>29</v>
      </c>
      <c r="F71" s="2">
        <v>0</v>
      </c>
      <c r="G71" s="2">
        <v>90.87</v>
      </c>
    </row>
    <row r="72" spans="2:7" x14ac:dyDescent="0.35">
      <c r="B72" s="1">
        <v>45966</v>
      </c>
      <c r="C72" s="1"/>
      <c r="D72" t="s">
        <v>30</v>
      </c>
      <c r="F72" s="2">
        <v>0</v>
      </c>
      <c r="G72" s="2">
        <v>85.25</v>
      </c>
    </row>
    <row r="73" spans="2:7" x14ac:dyDescent="0.35">
      <c r="B73" s="1">
        <v>45937</v>
      </c>
      <c r="C73" s="1"/>
      <c r="D73" t="s">
        <v>31</v>
      </c>
      <c r="F73" s="2">
        <v>0</v>
      </c>
      <c r="G73" s="2">
        <v>128.51</v>
      </c>
    </row>
    <row r="74" spans="2:7" x14ac:dyDescent="0.35">
      <c r="B74" s="1">
        <v>45968</v>
      </c>
      <c r="C74" s="1"/>
      <c r="D74" t="s">
        <v>32</v>
      </c>
      <c r="F74" s="2">
        <v>0</v>
      </c>
      <c r="G74" s="2">
        <v>136.57</v>
      </c>
    </row>
    <row r="75" spans="2:7" x14ac:dyDescent="0.35">
      <c r="B75" s="1">
        <v>45999</v>
      </c>
      <c r="C75" s="1"/>
      <c r="D75" t="s">
        <v>33</v>
      </c>
      <c r="F75" s="2">
        <v>0</v>
      </c>
      <c r="G75" s="2">
        <v>175.66</v>
      </c>
    </row>
    <row r="76" spans="2:7" x14ac:dyDescent="0.35">
      <c r="B76" s="1">
        <v>46011</v>
      </c>
      <c r="C76" s="1"/>
      <c r="D76" t="s">
        <v>34</v>
      </c>
      <c r="F76" s="2">
        <v>0</v>
      </c>
      <c r="G76" s="2">
        <v>47.93</v>
      </c>
    </row>
    <row r="77" spans="2:7" x14ac:dyDescent="0.35">
      <c r="B77" s="1">
        <v>45931</v>
      </c>
      <c r="C77" s="1"/>
      <c r="D77" t="s">
        <v>35</v>
      </c>
      <c r="F77" s="2">
        <v>0</v>
      </c>
      <c r="G77" s="2">
        <v>256</v>
      </c>
    </row>
    <row r="78" spans="2:7" x14ac:dyDescent="0.35">
      <c r="B78" s="1">
        <v>45964</v>
      </c>
      <c r="C78" s="1"/>
      <c r="D78" t="s">
        <v>35</v>
      </c>
      <c r="F78" s="2">
        <v>0</v>
      </c>
      <c r="G78" s="2">
        <v>330</v>
      </c>
    </row>
    <row r="79" spans="2:7" x14ac:dyDescent="0.35">
      <c r="B79" s="1">
        <v>45992</v>
      </c>
      <c r="C79" s="1"/>
      <c r="D79" t="s">
        <v>35</v>
      </c>
      <c r="F79" s="2">
        <v>0</v>
      </c>
      <c r="G79" s="2">
        <v>445</v>
      </c>
    </row>
    <row r="80" spans="2:7" x14ac:dyDescent="0.35">
      <c r="B80" s="1">
        <v>45958</v>
      </c>
      <c r="C80" s="1"/>
      <c r="D80" t="s">
        <v>36</v>
      </c>
      <c r="F80" s="2">
        <v>0</v>
      </c>
      <c r="G80" s="2">
        <v>5000</v>
      </c>
    </row>
    <row r="81" spans="2:7" x14ac:dyDescent="0.35">
      <c r="B81" s="1">
        <v>45944</v>
      </c>
      <c r="C81" s="1"/>
      <c r="D81" t="s">
        <v>36</v>
      </c>
      <c r="F81" s="2">
        <v>0</v>
      </c>
      <c r="G81" s="2">
        <v>18943.54</v>
      </c>
    </row>
    <row r="82" spans="2:7" x14ac:dyDescent="0.35">
      <c r="B82" s="1">
        <v>46006</v>
      </c>
      <c r="C82" s="1"/>
      <c r="D82" t="s">
        <v>36</v>
      </c>
      <c r="F82" s="2">
        <v>0</v>
      </c>
      <c r="G82" s="2">
        <v>20012.080000000002</v>
      </c>
    </row>
    <row r="83" spans="2:7" x14ac:dyDescent="0.35">
      <c r="B83" s="1">
        <v>45964</v>
      </c>
      <c r="C83" s="1"/>
      <c r="D83" t="s">
        <v>37</v>
      </c>
      <c r="F83" s="2">
        <v>0</v>
      </c>
      <c r="G83" s="2">
        <v>1489</v>
      </c>
    </row>
    <row r="84" spans="2:7" x14ac:dyDescent="0.35">
      <c r="B84" s="1">
        <v>45932</v>
      </c>
      <c r="C84" s="1"/>
      <c r="D84" t="s">
        <v>38</v>
      </c>
      <c r="F84" s="2">
        <v>0</v>
      </c>
      <c r="G84" s="2">
        <v>1489</v>
      </c>
    </row>
    <row r="85" spans="2:7" x14ac:dyDescent="0.35">
      <c r="B85" s="1">
        <v>45993</v>
      </c>
      <c r="C85" s="1"/>
      <c r="D85" t="s">
        <v>38</v>
      </c>
      <c r="F85" s="2">
        <v>0</v>
      </c>
      <c r="G85" s="2">
        <v>1489</v>
      </c>
    </row>
    <row r="86" spans="2:7" x14ac:dyDescent="0.35">
      <c r="B86" s="1">
        <v>45988</v>
      </c>
      <c r="C86" s="1"/>
      <c r="D86" t="s">
        <v>39</v>
      </c>
      <c r="F86" s="2">
        <v>0</v>
      </c>
      <c r="G86" s="2">
        <v>110.1</v>
      </c>
    </row>
    <row r="87" spans="2:7" x14ac:dyDescent="0.35">
      <c r="B87" s="1">
        <v>45990</v>
      </c>
      <c r="C87" s="1"/>
      <c r="D87" t="s">
        <v>40</v>
      </c>
      <c r="F87" s="2">
        <v>0</v>
      </c>
      <c r="G87" s="2">
        <v>12.81</v>
      </c>
    </row>
    <row r="88" spans="2:7" x14ac:dyDescent="0.35">
      <c r="B88" s="1">
        <v>46015</v>
      </c>
      <c r="C88" s="1"/>
      <c r="D88" t="s">
        <v>41</v>
      </c>
      <c r="F88" s="2">
        <v>0</v>
      </c>
      <c r="G88" s="2">
        <v>43.48</v>
      </c>
    </row>
    <row r="89" spans="2:7" x14ac:dyDescent="0.35">
      <c r="B89" s="1">
        <v>46002</v>
      </c>
      <c r="C89" s="1"/>
      <c r="D89" t="s">
        <v>42</v>
      </c>
      <c r="F89" s="2">
        <v>0</v>
      </c>
      <c r="G89" s="2">
        <v>1758</v>
      </c>
    </row>
    <row r="90" spans="2:7" x14ac:dyDescent="0.35">
      <c r="B90" s="1">
        <v>45943</v>
      </c>
      <c r="C90" s="1"/>
      <c r="D90" t="s">
        <v>43</v>
      </c>
      <c r="F90" s="2">
        <v>0</v>
      </c>
      <c r="G90" s="2">
        <v>3.76</v>
      </c>
    </row>
    <row r="91" spans="2:7" x14ac:dyDescent="0.35">
      <c r="B91" s="1">
        <v>45991</v>
      </c>
      <c r="C91" s="1"/>
      <c r="D91" t="s">
        <v>44</v>
      </c>
      <c r="F91" s="2">
        <v>0</v>
      </c>
      <c r="G91" s="2">
        <v>14.86</v>
      </c>
    </row>
    <row r="92" spans="2:7" x14ac:dyDescent="0.35">
      <c r="B92" s="1">
        <v>45999</v>
      </c>
      <c r="C92" s="1"/>
      <c r="D92" t="s">
        <v>45</v>
      </c>
      <c r="F92" s="2">
        <v>0</v>
      </c>
      <c r="G92" s="2">
        <v>34.619999999999997</v>
      </c>
    </row>
    <row r="93" spans="2:7" x14ac:dyDescent="0.35">
      <c r="B93" s="1">
        <v>45996</v>
      </c>
      <c r="C93" s="1"/>
      <c r="D93" t="s">
        <v>46</v>
      </c>
      <c r="F93" s="2">
        <v>0</v>
      </c>
      <c r="G93" s="2">
        <v>705</v>
      </c>
    </row>
    <row r="94" spans="2:7" x14ac:dyDescent="0.35">
      <c r="B94" s="1">
        <v>45936</v>
      </c>
      <c r="C94" s="1"/>
      <c r="D94" t="s">
        <v>46</v>
      </c>
      <c r="F94" s="2">
        <v>0</v>
      </c>
      <c r="G94" s="2">
        <v>713</v>
      </c>
    </row>
    <row r="95" spans="2:7" x14ac:dyDescent="0.35">
      <c r="B95" s="1">
        <v>45966</v>
      </c>
      <c r="C95" s="1"/>
      <c r="D95" t="s">
        <v>46</v>
      </c>
      <c r="F95" s="2">
        <v>0</v>
      </c>
      <c r="G95" s="2">
        <v>713</v>
      </c>
    </row>
    <row r="96" spans="2:7" x14ac:dyDescent="0.35">
      <c r="B96" s="1">
        <v>45986</v>
      </c>
      <c r="C96" s="1"/>
      <c r="D96" t="s">
        <v>47</v>
      </c>
      <c r="F96" s="2">
        <v>0</v>
      </c>
      <c r="G96" s="2">
        <v>105.41</v>
      </c>
    </row>
    <row r="97" spans="2:7" x14ac:dyDescent="0.35">
      <c r="B97" s="1">
        <v>46014</v>
      </c>
      <c r="C97" s="1"/>
      <c r="D97" t="s">
        <v>48</v>
      </c>
      <c r="F97" s="2">
        <v>0</v>
      </c>
      <c r="G97" s="2">
        <v>2.16</v>
      </c>
    </row>
    <row r="98" spans="2:7" x14ac:dyDescent="0.35">
      <c r="B98" s="1">
        <v>46014</v>
      </c>
      <c r="C98" s="1"/>
      <c r="D98" t="s">
        <v>48</v>
      </c>
      <c r="F98" s="2">
        <v>0</v>
      </c>
      <c r="G98" s="2">
        <v>31.19</v>
      </c>
    </row>
    <row r="99" spans="2:7" x14ac:dyDescent="0.35">
      <c r="B99" s="1">
        <v>45933</v>
      </c>
      <c r="C99" s="1"/>
      <c r="D99" t="s">
        <v>49</v>
      </c>
      <c r="F99" s="2">
        <v>0</v>
      </c>
      <c r="G99" s="2">
        <v>18995.29</v>
      </c>
    </row>
    <row r="100" spans="2:7" x14ac:dyDescent="0.35">
      <c r="B100" s="1">
        <v>45965</v>
      </c>
      <c r="C100" s="1"/>
      <c r="D100" t="s">
        <v>49</v>
      </c>
      <c r="F100" s="2">
        <v>0</v>
      </c>
      <c r="G100" s="2">
        <v>18995.29</v>
      </c>
    </row>
    <row r="101" spans="2:7" x14ac:dyDescent="0.35">
      <c r="B101" s="1">
        <v>45999</v>
      </c>
      <c r="C101" s="1"/>
      <c r="D101" t="s">
        <v>49</v>
      </c>
      <c r="F101" s="2">
        <v>0</v>
      </c>
      <c r="G101" s="2">
        <v>18995.29</v>
      </c>
    </row>
    <row r="102" spans="2:7" x14ac:dyDescent="0.35">
      <c r="B102" s="1">
        <v>45932</v>
      </c>
      <c r="C102" s="1"/>
      <c r="D102" t="s">
        <v>50</v>
      </c>
      <c r="F102" s="2">
        <v>0</v>
      </c>
      <c r="G102" s="2">
        <v>258.35000000000002</v>
      </c>
    </row>
    <row r="103" spans="2:7" x14ac:dyDescent="0.35">
      <c r="B103" s="1">
        <v>45965</v>
      </c>
      <c r="C103" s="1"/>
      <c r="D103" t="s">
        <v>50</v>
      </c>
      <c r="F103" s="2">
        <v>0</v>
      </c>
      <c r="G103" s="2">
        <v>258.35000000000002</v>
      </c>
    </row>
    <row r="104" spans="2:7" x14ac:dyDescent="0.35">
      <c r="B104" s="1">
        <v>45993</v>
      </c>
      <c r="C104" s="1"/>
      <c r="D104" t="s">
        <v>50</v>
      </c>
      <c r="F104" s="2">
        <v>0</v>
      </c>
      <c r="G104" s="2">
        <v>258.35000000000002</v>
      </c>
    </row>
    <row r="105" spans="2:7" x14ac:dyDescent="0.35">
      <c r="B105" s="1">
        <v>45937</v>
      </c>
      <c r="C105" s="1"/>
      <c r="D105" t="s">
        <v>51</v>
      </c>
      <c r="F105" s="2">
        <v>0</v>
      </c>
      <c r="G105" s="2">
        <v>3306.48</v>
      </c>
    </row>
    <row r="106" spans="2:7" x14ac:dyDescent="0.35">
      <c r="B106" s="1">
        <v>45968</v>
      </c>
      <c r="C106" s="1"/>
      <c r="D106" t="s">
        <v>51</v>
      </c>
      <c r="F106" s="2">
        <v>0</v>
      </c>
      <c r="G106" s="2">
        <v>3306.48</v>
      </c>
    </row>
    <row r="107" spans="2:7" x14ac:dyDescent="0.35">
      <c r="B107" s="1">
        <v>45999</v>
      </c>
      <c r="C107" s="1"/>
      <c r="D107" t="s">
        <v>51</v>
      </c>
      <c r="F107" s="2">
        <v>0</v>
      </c>
      <c r="G107" s="2">
        <v>3306.48</v>
      </c>
    </row>
    <row r="108" spans="2:7" x14ac:dyDescent="0.35">
      <c r="B108" s="1">
        <v>46020</v>
      </c>
      <c r="C108" s="1"/>
      <c r="D108" t="s">
        <v>52</v>
      </c>
      <c r="F108" s="2">
        <v>0</v>
      </c>
      <c r="G108" s="2">
        <v>5287.21</v>
      </c>
    </row>
    <row r="109" spans="2:7" x14ac:dyDescent="0.35">
      <c r="B109" s="1">
        <v>45951</v>
      </c>
      <c r="C109" s="1"/>
      <c r="D109" t="s">
        <v>53</v>
      </c>
      <c r="F109" s="2">
        <v>0</v>
      </c>
      <c r="G109" s="2">
        <v>10.99</v>
      </c>
    </row>
    <row r="110" spans="2:7" x14ac:dyDescent="0.35">
      <c r="B110" s="1">
        <v>45982</v>
      </c>
      <c r="C110" s="1"/>
      <c r="D110" t="s">
        <v>53</v>
      </c>
      <c r="F110" s="2">
        <v>0</v>
      </c>
      <c r="G110" s="2">
        <v>12.99</v>
      </c>
    </row>
    <row r="111" spans="2:7" x14ac:dyDescent="0.35">
      <c r="B111" s="1">
        <v>46013</v>
      </c>
      <c r="C111" s="1"/>
      <c r="D111" t="s">
        <v>53</v>
      </c>
      <c r="F111" s="2">
        <v>0</v>
      </c>
      <c r="G111" s="2">
        <v>12.99</v>
      </c>
    </row>
    <row r="112" spans="2:7" x14ac:dyDescent="0.35">
      <c r="B112" s="1">
        <v>45993</v>
      </c>
      <c r="C112" s="1"/>
      <c r="D112" t="s">
        <v>53</v>
      </c>
      <c r="F112" s="2">
        <v>0</v>
      </c>
      <c r="G112" s="2">
        <v>16.57</v>
      </c>
    </row>
    <row r="113" spans="2:7" x14ac:dyDescent="0.35">
      <c r="B113" s="1">
        <v>46017</v>
      </c>
      <c r="C113" s="1"/>
      <c r="D113" t="s">
        <v>53</v>
      </c>
      <c r="F113" s="2">
        <v>0</v>
      </c>
      <c r="G113" s="2">
        <v>75.3</v>
      </c>
    </row>
    <row r="114" spans="2:7" x14ac:dyDescent="0.35">
      <c r="B114" s="1">
        <v>45958</v>
      </c>
      <c r="C114" s="1"/>
      <c r="D114" t="s">
        <v>53</v>
      </c>
      <c r="F114" s="2">
        <v>0</v>
      </c>
      <c r="G114" s="2">
        <v>1000</v>
      </c>
    </row>
    <row r="115" spans="2:7" x14ac:dyDescent="0.35">
      <c r="B115" s="1">
        <v>45965</v>
      </c>
      <c r="C115" s="1"/>
      <c r="D115" t="s">
        <v>54</v>
      </c>
      <c r="F115" s="2">
        <v>0</v>
      </c>
      <c r="G115" s="2">
        <v>141.19999999999999</v>
      </c>
    </row>
    <row r="116" spans="2:7" x14ac:dyDescent="0.35">
      <c r="B116" s="1">
        <v>45993</v>
      </c>
      <c r="C116" s="1"/>
      <c r="D116" t="s">
        <v>54</v>
      </c>
      <c r="F116" s="2">
        <v>0</v>
      </c>
      <c r="G116" s="2">
        <v>141.19999999999999</v>
      </c>
    </row>
    <row r="117" spans="2:7" x14ac:dyDescent="0.35">
      <c r="B117" s="1">
        <v>45932</v>
      </c>
      <c r="C117" s="1"/>
      <c r="D117" t="s">
        <v>54</v>
      </c>
      <c r="F117" s="2">
        <v>0</v>
      </c>
      <c r="G117" s="2">
        <v>148.26</v>
      </c>
    </row>
    <row r="118" spans="2:7" x14ac:dyDescent="0.35">
      <c r="B118" s="1">
        <v>45959</v>
      </c>
      <c r="C118" s="1"/>
      <c r="D118" t="s">
        <v>55</v>
      </c>
      <c r="F118" s="2">
        <v>0</v>
      </c>
      <c r="G118" s="2">
        <v>0.48</v>
      </c>
    </row>
    <row r="119" spans="2:7" x14ac:dyDescent="0.35">
      <c r="B119" s="1">
        <v>45993</v>
      </c>
      <c r="C119" s="1"/>
      <c r="D119" t="s">
        <v>56</v>
      </c>
      <c r="F119" s="2">
        <v>0</v>
      </c>
      <c r="G119" s="2">
        <v>52.11</v>
      </c>
    </row>
    <row r="120" spans="2:7" x14ac:dyDescent="0.35">
      <c r="B120" s="1">
        <v>45965</v>
      </c>
      <c r="C120" s="1"/>
      <c r="D120" t="s">
        <v>56</v>
      </c>
      <c r="F120" s="2">
        <v>0</v>
      </c>
      <c r="G120" s="2">
        <v>100</v>
      </c>
    </row>
    <row r="121" spans="2:7" x14ac:dyDescent="0.35">
      <c r="B121" s="1">
        <v>45961</v>
      </c>
      <c r="C121" s="1"/>
      <c r="D121" t="s">
        <v>56</v>
      </c>
      <c r="F121" s="2">
        <v>0</v>
      </c>
      <c r="G121" s="2">
        <v>6000</v>
      </c>
    </row>
    <row r="122" spans="2:7" x14ac:dyDescent="0.35">
      <c r="B122" s="1">
        <v>45986</v>
      </c>
      <c r="C122" s="1"/>
      <c r="D122" t="s">
        <v>56</v>
      </c>
      <c r="F122" s="2">
        <v>0</v>
      </c>
      <c r="G122" s="2">
        <v>12464.38</v>
      </c>
    </row>
    <row r="123" spans="2:7" x14ac:dyDescent="0.35">
      <c r="B123" s="1">
        <v>46014</v>
      </c>
      <c r="C123" s="1"/>
      <c r="D123" t="s">
        <v>57</v>
      </c>
      <c r="F123" s="2">
        <v>0</v>
      </c>
      <c r="G123" s="2">
        <v>5000</v>
      </c>
    </row>
    <row r="124" spans="2:7" x14ac:dyDescent="0.35">
      <c r="B124" s="1">
        <v>45986</v>
      </c>
      <c r="C124" s="1"/>
      <c r="D124" t="s">
        <v>58</v>
      </c>
      <c r="F124" s="2">
        <v>0</v>
      </c>
      <c r="G124" s="2">
        <v>469.4</v>
      </c>
    </row>
    <row r="125" spans="2:7" x14ac:dyDescent="0.35">
      <c r="B125" s="1">
        <v>46003</v>
      </c>
      <c r="C125" s="1"/>
      <c r="D125" t="s">
        <v>59</v>
      </c>
      <c r="F125" s="2">
        <v>0</v>
      </c>
      <c r="G125" s="2">
        <v>96.05</v>
      </c>
    </row>
    <row r="126" spans="2:7" x14ac:dyDescent="0.35">
      <c r="B126" s="1">
        <v>46002</v>
      </c>
      <c r="C126" s="1"/>
      <c r="D126" t="s">
        <v>60</v>
      </c>
      <c r="F126" s="2">
        <v>0</v>
      </c>
      <c r="G126" s="2">
        <v>3237.29</v>
      </c>
    </row>
    <row r="127" spans="2:7" x14ac:dyDescent="0.35">
      <c r="B127" s="1">
        <v>46001</v>
      </c>
      <c r="C127" s="1"/>
      <c r="D127" t="s">
        <v>61</v>
      </c>
      <c r="F127" s="2">
        <v>0</v>
      </c>
      <c r="G127" s="2">
        <v>18.91</v>
      </c>
    </row>
    <row r="128" spans="2:7" x14ac:dyDescent="0.35">
      <c r="B128" s="1">
        <v>46001</v>
      </c>
      <c r="C128" s="1"/>
      <c r="D128" t="s">
        <v>62</v>
      </c>
      <c r="F128" s="2">
        <v>0</v>
      </c>
      <c r="G128" s="2">
        <v>25.05</v>
      </c>
    </row>
    <row r="129" spans="2:7" x14ac:dyDescent="0.35">
      <c r="B129" s="1">
        <v>45965</v>
      </c>
      <c r="C129" s="1"/>
      <c r="D129" t="s">
        <v>63</v>
      </c>
      <c r="F129" s="2">
        <v>0</v>
      </c>
      <c r="G129" s="2">
        <v>23.27</v>
      </c>
    </row>
    <row r="130" spans="2:7" x14ac:dyDescent="0.35">
      <c r="B130" s="1">
        <v>45965</v>
      </c>
      <c r="C130" s="1"/>
      <c r="D130" t="s">
        <v>63</v>
      </c>
      <c r="F130" s="2">
        <v>0</v>
      </c>
      <c r="G130" s="2">
        <v>49.94</v>
      </c>
    </row>
    <row r="131" spans="2:7" x14ac:dyDescent="0.35">
      <c r="B131" s="1">
        <v>46001</v>
      </c>
      <c r="C131" s="1"/>
      <c r="D131" t="s">
        <v>63</v>
      </c>
      <c r="F131" s="2">
        <v>0</v>
      </c>
      <c r="G131" s="2">
        <v>111.35</v>
      </c>
    </row>
    <row r="132" spans="2:7" x14ac:dyDescent="0.35">
      <c r="B132" s="1">
        <v>45933</v>
      </c>
      <c r="C132" s="1"/>
      <c r="D132" t="s">
        <v>63</v>
      </c>
      <c r="F132" s="2">
        <v>0</v>
      </c>
      <c r="G132" s="2">
        <v>125.53</v>
      </c>
    </row>
    <row r="133" spans="2:7" x14ac:dyDescent="0.35">
      <c r="B133" s="1">
        <v>45933</v>
      </c>
      <c r="C133" s="1"/>
      <c r="D133" t="s">
        <v>63</v>
      </c>
      <c r="F133" s="2">
        <v>0</v>
      </c>
      <c r="G133" s="2">
        <v>547.21</v>
      </c>
    </row>
    <row r="134" spans="2:7" x14ac:dyDescent="0.35">
      <c r="B134" s="1">
        <v>46001</v>
      </c>
      <c r="C134" s="1"/>
      <c r="D134" t="s">
        <v>63</v>
      </c>
      <c r="F134" s="2">
        <v>0</v>
      </c>
      <c r="G134" s="2">
        <v>604.09</v>
      </c>
    </row>
    <row r="135" spans="2:7" x14ac:dyDescent="0.35">
      <c r="B135" s="1">
        <v>45965</v>
      </c>
      <c r="C135" s="1"/>
      <c r="D135" t="s">
        <v>63</v>
      </c>
      <c r="F135" s="2">
        <v>0</v>
      </c>
      <c r="G135" s="2">
        <v>692.42</v>
      </c>
    </row>
    <row r="136" spans="2:7" x14ac:dyDescent="0.35">
      <c r="B136" s="1">
        <v>45933</v>
      </c>
      <c r="C136" s="1"/>
      <c r="D136" t="s">
        <v>63</v>
      </c>
      <c r="F136" s="2">
        <v>0</v>
      </c>
      <c r="G136" s="2">
        <v>1174.29</v>
      </c>
    </row>
    <row r="137" spans="2:7" x14ac:dyDescent="0.35">
      <c r="B137" s="1">
        <v>45958</v>
      </c>
      <c r="C137" s="1"/>
      <c r="D137" t="s">
        <v>64</v>
      </c>
      <c r="F137" s="2">
        <v>0</v>
      </c>
      <c r="G137" s="2">
        <v>459.16</v>
      </c>
    </row>
    <row r="138" spans="2:7" x14ac:dyDescent="0.35">
      <c r="B138" s="1">
        <v>45944</v>
      </c>
      <c r="C138" s="1"/>
      <c r="D138" t="s">
        <v>65</v>
      </c>
      <c r="F138" s="2">
        <v>0</v>
      </c>
      <c r="G138" s="2">
        <v>36.479999999999997</v>
      </c>
    </row>
    <row r="139" spans="2:7" x14ac:dyDescent="0.35">
      <c r="B139" s="1">
        <v>45981</v>
      </c>
      <c r="C139" s="1"/>
      <c r="D139" t="s">
        <v>66</v>
      </c>
      <c r="F139" s="2">
        <v>0</v>
      </c>
      <c r="G139" s="2">
        <v>31.24</v>
      </c>
    </row>
    <row r="140" spans="2:7" x14ac:dyDescent="0.35">
      <c r="B140" s="1">
        <v>45950</v>
      </c>
      <c r="C140" s="1"/>
      <c r="D140" t="s">
        <v>67</v>
      </c>
      <c r="F140" s="2">
        <v>0</v>
      </c>
      <c r="G140" s="2">
        <v>31.24</v>
      </c>
    </row>
    <row r="141" spans="2:7" x14ac:dyDescent="0.35">
      <c r="B141" s="1">
        <v>46011</v>
      </c>
      <c r="C141" s="1"/>
      <c r="D141" t="s">
        <v>68</v>
      </c>
      <c r="F141" s="2">
        <v>0</v>
      </c>
      <c r="G141" s="2">
        <v>31.24</v>
      </c>
    </row>
    <row r="142" spans="2:7" x14ac:dyDescent="0.35">
      <c r="B142" s="1">
        <v>45999</v>
      </c>
      <c r="C142" s="1"/>
      <c r="D142" t="s">
        <v>69</v>
      </c>
      <c r="F142" s="2">
        <v>0</v>
      </c>
      <c r="G142" s="2">
        <v>40.11</v>
      </c>
    </row>
    <row r="143" spans="2:7" x14ac:dyDescent="0.35">
      <c r="B143" s="1">
        <v>45973</v>
      </c>
      <c r="C143" s="1"/>
      <c r="D143" t="s">
        <v>70</v>
      </c>
      <c r="F143" s="2">
        <v>0</v>
      </c>
      <c r="G143" s="2">
        <v>52.78</v>
      </c>
    </row>
    <row r="144" spans="2:7" x14ac:dyDescent="0.35">
      <c r="B144" s="1">
        <v>45958</v>
      </c>
      <c r="C144" s="1"/>
      <c r="D144" t="s">
        <v>70</v>
      </c>
      <c r="F144" s="2">
        <v>0</v>
      </c>
      <c r="G144" s="2">
        <v>72.42</v>
      </c>
    </row>
    <row r="145" spans="2:7" x14ac:dyDescent="0.35">
      <c r="B145" s="1">
        <v>45986</v>
      </c>
      <c r="C145" s="1"/>
      <c r="D145" t="s">
        <v>70</v>
      </c>
      <c r="F145" s="2">
        <v>0</v>
      </c>
      <c r="G145" s="2">
        <v>73.72</v>
      </c>
    </row>
    <row r="146" spans="2:7" x14ac:dyDescent="0.35">
      <c r="B146" s="1">
        <v>46013</v>
      </c>
      <c r="C146" s="1"/>
      <c r="D146" t="s">
        <v>70</v>
      </c>
      <c r="F146" s="2">
        <v>0</v>
      </c>
      <c r="G146" s="2">
        <v>89.71</v>
      </c>
    </row>
    <row r="147" spans="2:7" x14ac:dyDescent="0.35">
      <c r="B147" s="1">
        <v>45950</v>
      </c>
      <c r="C147" s="1"/>
      <c r="D147" t="s">
        <v>70</v>
      </c>
      <c r="F147" s="2">
        <v>0</v>
      </c>
      <c r="G147" s="2">
        <v>118.04</v>
      </c>
    </row>
    <row r="148" spans="2:7" x14ac:dyDescent="0.35">
      <c r="B148" s="1">
        <v>45979</v>
      </c>
      <c r="C148" s="1"/>
      <c r="D148" t="s">
        <v>70</v>
      </c>
      <c r="F148" s="2">
        <v>0</v>
      </c>
      <c r="G148" s="2">
        <v>5051.03</v>
      </c>
    </row>
    <row r="149" spans="2:7" x14ac:dyDescent="0.35">
      <c r="B149" s="1">
        <v>46010</v>
      </c>
      <c r="C149" s="1"/>
      <c r="D149" t="s">
        <v>70</v>
      </c>
      <c r="F149" s="2">
        <v>0</v>
      </c>
      <c r="G149" s="2">
        <v>5343.45</v>
      </c>
    </row>
    <row r="150" spans="2:7" x14ac:dyDescent="0.35">
      <c r="B150" s="1">
        <v>45996</v>
      </c>
      <c r="C150" s="1"/>
      <c r="D150" t="s">
        <v>70</v>
      </c>
      <c r="F150" s="2">
        <v>0</v>
      </c>
      <c r="G150" s="2">
        <v>5464.17</v>
      </c>
    </row>
    <row r="151" spans="2:7" x14ac:dyDescent="0.35">
      <c r="B151" s="1">
        <v>45965</v>
      </c>
      <c r="C151" s="1"/>
      <c r="D151" t="s">
        <v>70</v>
      </c>
      <c r="F151" s="2">
        <v>0</v>
      </c>
      <c r="G151" s="2">
        <v>7211.8</v>
      </c>
    </row>
    <row r="152" spans="2:7" x14ac:dyDescent="0.35">
      <c r="B152" s="1">
        <v>45951</v>
      </c>
      <c r="C152" s="1"/>
      <c r="D152" t="s">
        <v>70</v>
      </c>
      <c r="F152" s="2">
        <v>0</v>
      </c>
      <c r="G152" s="2">
        <v>7471.17</v>
      </c>
    </row>
    <row r="153" spans="2:7" x14ac:dyDescent="0.35">
      <c r="B153" s="1">
        <v>45937</v>
      </c>
      <c r="C153" s="1"/>
      <c r="D153" t="s">
        <v>70</v>
      </c>
      <c r="F153" s="2">
        <v>0</v>
      </c>
      <c r="G153" s="2">
        <v>8838.74</v>
      </c>
    </row>
    <row r="154" spans="2:7" x14ac:dyDescent="0.35">
      <c r="B154" s="1">
        <v>45986</v>
      </c>
      <c r="C154" s="1"/>
      <c r="D154" t="s">
        <v>71</v>
      </c>
      <c r="F154" s="2">
        <v>0</v>
      </c>
      <c r="G154" s="2">
        <v>38.99</v>
      </c>
    </row>
    <row r="155" spans="2:7" x14ac:dyDescent="0.35">
      <c r="B155" s="1">
        <v>45988</v>
      </c>
      <c r="C155" s="1"/>
      <c r="D155" t="s">
        <v>72</v>
      </c>
      <c r="F155" s="2">
        <v>0</v>
      </c>
      <c r="G155" s="2">
        <v>18.260000000000002</v>
      </c>
    </row>
    <row r="156" spans="2:7" x14ac:dyDescent="0.35">
      <c r="B156" s="1">
        <v>46008</v>
      </c>
      <c r="C156" s="1"/>
      <c r="D156" t="s">
        <v>73</v>
      </c>
      <c r="F156" s="2">
        <v>0</v>
      </c>
    </row>
    <row r="157" spans="2:7" x14ac:dyDescent="0.35">
      <c r="B157" s="1">
        <v>45984</v>
      </c>
      <c r="C157" s="1"/>
      <c r="D157" t="s">
        <v>74</v>
      </c>
      <c r="F157" s="2">
        <v>0</v>
      </c>
      <c r="G157" s="2">
        <v>86.25</v>
      </c>
    </row>
    <row r="158" spans="2:7" x14ac:dyDescent="0.35">
      <c r="B158" s="1">
        <v>45937</v>
      </c>
      <c r="C158" s="1"/>
      <c r="D158" t="s">
        <v>75</v>
      </c>
      <c r="F158" s="2">
        <v>0</v>
      </c>
      <c r="G158" s="2">
        <v>347.95</v>
      </c>
    </row>
    <row r="159" spans="2:7" x14ac:dyDescent="0.35">
      <c r="B159" s="1">
        <v>45945</v>
      </c>
      <c r="C159" s="1"/>
      <c r="D159" t="s">
        <v>76</v>
      </c>
      <c r="F159" s="2">
        <v>0</v>
      </c>
      <c r="G159" s="2">
        <v>347.95</v>
      </c>
    </row>
    <row r="160" spans="2:7" x14ac:dyDescent="0.35">
      <c r="B160" s="1">
        <v>45951</v>
      </c>
      <c r="C160" s="1"/>
      <c r="D160" t="s">
        <v>77</v>
      </c>
      <c r="F160" s="2">
        <v>0</v>
      </c>
      <c r="G160" s="2">
        <v>347.95</v>
      </c>
    </row>
    <row r="161" spans="2:7" x14ac:dyDescent="0.35">
      <c r="B161" s="1">
        <v>45958</v>
      </c>
      <c r="C161" s="1"/>
      <c r="D161" t="s">
        <v>78</v>
      </c>
      <c r="F161" s="2">
        <v>0</v>
      </c>
      <c r="G161" s="2">
        <v>347.95</v>
      </c>
    </row>
    <row r="162" spans="2:7" x14ac:dyDescent="0.35">
      <c r="B162" s="1">
        <v>45965</v>
      </c>
      <c r="C162" s="1"/>
      <c r="D162" t="s">
        <v>79</v>
      </c>
      <c r="F162" s="2">
        <v>0</v>
      </c>
      <c r="G162" s="2">
        <v>347.95</v>
      </c>
    </row>
    <row r="163" spans="2:7" x14ac:dyDescent="0.35">
      <c r="B163" s="1">
        <v>45973</v>
      </c>
      <c r="C163" s="1"/>
      <c r="D163" t="s">
        <v>80</v>
      </c>
      <c r="F163" s="2">
        <v>0</v>
      </c>
      <c r="G163" s="2">
        <v>347.95</v>
      </c>
    </row>
    <row r="164" spans="2:7" x14ac:dyDescent="0.35">
      <c r="B164" s="1">
        <v>45979</v>
      </c>
      <c r="C164" s="1"/>
      <c r="D164" t="s">
        <v>81</v>
      </c>
      <c r="F164" s="2">
        <v>0</v>
      </c>
      <c r="G164" s="2">
        <v>347.95</v>
      </c>
    </row>
    <row r="165" spans="2:7" x14ac:dyDescent="0.35">
      <c r="B165" s="1">
        <v>45986</v>
      </c>
      <c r="C165" s="1"/>
      <c r="D165" t="s">
        <v>82</v>
      </c>
      <c r="F165" s="2">
        <v>0</v>
      </c>
      <c r="G165" s="2">
        <v>347.95</v>
      </c>
    </row>
    <row r="166" spans="2:7" x14ac:dyDescent="0.35">
      <c r="B166" s="1">
        <v>45993</v>
      </c>
      <c r="C166" s="1"/>
      <c r="D166" t="s">
        <v>83</v>
      </c>
      <c r="F166" s="2">
        <v>0</v>
      </c>
      <c r="G166" s="2">
        <v>347.95</v>
      </c>
    </row>
    <row r="167" spans="2:7" x14ac:dyDescent="0.35">
      <c r="B167" s="1">
        <v>46000</v>
      </c>
      <c r="C167" s="1"/>
      <c r="D167" t="s">
        <v>84</v>
      </c>
      <c r="F167" s="2">
        <v>0</v>
      </c>
      <c r="G167" s="2">
        <v>347.95</v>
      </c>
    </row>
    <row r="168" spans="2:7" x14ac:dyDescent="0.35">
      <c r="B168" s="1">
        <v>46007</v>
      </c>
      <c r="C168" s="1"/>
      <c r="D168" t="s">
        <v>85</v>
      </c>
      <c r="F168" s="2">
        <v>0</v>
      </c>
      <c r="G168" s="2">
        <v>347.95</v>
      </c>
    </row>
    <row r="169" spans="2:7" x14ac:dyDescent="0.35">
      <c r="B169" s="1">
        <v>46014</v>
      </c>
      <c r="C169" s="1"/>
      <c r="D169" t="s">
        <v>86</v>
      </c>
      <c r="F169" s="2">
        <v>0</v>
      </c>
      <c r="G169" s="2">
        <v>347.95</v>
      </c>
    </row>
    <row r="170" spans="2:7" x14ac:dyDescent="0.35">
      <c r="B170" s="1">
        <v>46021</v>
      </c>
      <c r="C170" s="1"/>
      <c r="D170" t="s">
        <v>87</v>
      </c>
      <c r="F170" s="2">
        <v>0</v>
      </c>
      <c r="G170" s="2">
        <v>347.95</v>
      </c>
    </row>
    <row r="171" spans="2:7" x14ac:dyDescent="0.35">
      <c r="B171" s="1">
        <v>45993</v>
      </c>
      <c r="C171" s="1"/>
      <c r="D171" t="s">
        <v>88</v>
      </c>
      <c r="F171" s="2">
        <v>0</v>
      </c>
    </row>
    <row r="172" spans="2:7" x14ac:dyDescent="0.35">
      <c r="B172" s="1">
        <v>45999</v>
      </c>
      <c r="C172" s="1"/>
      <c r="D172" t="s">
        <v>89</v>
      </c>
      <c r="F172" s="2">
        <v>0</v>
      </c>
      <c r="G172" s="2">
        <v>34.64</v>
      </c>
    </row>
    <row r="173" spans="2:7" x14ac:dyDescent="0.35">
      <c r="B173" s="1">
        <v>46021</v>
      </c>
      <c r="C173" s="1"/>
      <c r="D173" t="s">
        <v>90</v>
      </c>
      <c r="F173" s="2">
        <v>0</v>
      </c>
      <c r="G173" s="2">
        <v>13.78</v>
      </c>
    </row>
    <row r="174" spans="2:7" x14ac:dyDescent="0.35">
      <c r="B174" s="1">
        <v>45975</v>
      </c>
      <c r="C174" s="1"/>
      <c r="D174" t="s">
        <v>91</v>
      </c>
      <c r="F174" s="2">
        <v>0</v>
      </c>
      <c r="G174" s="2">
        <v>200</v>
      </c>
    </row>
    <row r="175" spans="2:7" x14ac:dyDescent="0.35">
      <c r="B175" s="1">
        <v>45940</v>
      </c>
      <c r="C175" s="1"/>
      <c r="D175" t="s">
        <v>91</v>
      </c>
      <c r="F175" s="2">
        <v>0</v>
      </c>
      <c r="G175" s="2">
        <v>400</v>
      </c>
    </row>
    <row r="176" spans="2:7" x14ac:dyDescent="0.35">
      <c r="B176" s="1">
        <v>45973</v>
      </c>
      <c r="C176" s="1"/>
      <c r="D176" t="s">
        <v>91</v>
      </c>
      <c r="F176" s="2">
        <v>0</v>
      </c>
      <c r="G176" s="2">
        <v>400</v>
      </c>
    </row>
    <row r="177" spans="2:7" x14ac:dyDescent="0.35">
      <c r="B177" s="1">
        <v>45985</v>
      </c>
      <c r="C177" s="1"/>
      <c r="D177" t="s">
        <v>91</v>
      </c>
      <c r="F177" s="2">
        <v>0</v>
      </c>
      <c r="G177" s="2">
        <v>400</v>
      </c>
    </row>
    <row r="178" spans="2:7" x14ac:dyDescent="0.35">
      <c r="B178" s="1">
        <v>46008</v>
      </c>
      <c r="C178" s="1"/>
      <c r="D178" t="s">
        <v>91</v>
      </c>
      <c r="F178" s="2">
        <v>0</v>
      </c>
      <c r="G178" s="2">
        <v>400</v>
      </c>
    </row>
    <row r="179" spans="2:7" x14ac:dyDescent="0.35">
      <c r="B179" s="1">
        <v>46022</v>
      </c>
      <c r="C179" s="1"/>
      <c r="D179" t="s">
        <v>91</v>
      </c>
      <c r="F179" s="2">
        <v>0</v>
      </c>
      <c r="G179" s="2">
        <v>3000</v>
      </c>
    </row>
    <row r="180" spans="2:7" x14ac:dyDescent="0.35">
      <c r="B180" s="1">
        <v>45975</v>
      </c>
      <c r="C180" s="1"/>
      <c r="D180" t="s">
        <v>92</v>
      </c>
      <c r="F180" s="2">
        <v>0</v>
      </c>
      <c r="G180" s="2">
        <v>40025.199999999997</v>
      </c>
    </row>
    <row r="181" spans="2:7" x14ac:dyDescent="0.35">
      <c r="B181" s="1">
        <v>46008</v>
      </c>
      <c r="C181" s="1"/>
      <c r="D181" t="s">
        <v>93</v>
      </c>
      <c r="F181" s="2">
        <v>0</v>
      </c>
      <c r="G181" s="2">
        <v>3</v>
      </c>
    </row>
    <row r="182" spans="2:7" x14ac:dyDescent="0.35">
      <c r="B182" s="1">
        <v>45940</v>
      </c>
      <c r="C182" s="1"/>
      <c r="D182" t="s">
        <v>93</v>
      </c>
      <c r="F182" s="2">
        <v>0</v>
      </c>
      <c r="G182" s="2">
        <v>6</v>
      </c>
    </row>
    <row r="183" spans="2:7" x14ac:dyDescent="0.35">
      <c r="B183" s="1">
        <v>45985</v>
      </c>
      <c r="C183" s="1"/>
      <c r="D183" t="s">
        <v>93</v>
      </c>
      <c r="F183" s="2">
        <v>0</v>
      </c>
      <c r="G183" s="2">
        <v>6</v>
      </c>
    </row>
    <row r="184" spans="2:7" x14ac:dyDescent="0.35">
      <c r="B184" s="1">
        <v>46006</v>
      </c>
      <c r="C184" s="1"/>
      <c r="D184" t="s">
        <v>94</v>
      </c>
      <c r="F184" s="2">
        <v>0</v>
      </c>
      <c r="G184" s="2">
        <v>29</v>
      </c>
    </row>
    <row r="185" spans="2:7" x14ac:dyDescent="0.35">
      <c r="B185" s="1">
        <v>45975</v>
      </c>
      <c r="C185" s="1"/>
      <c r="D185" t="s">
        <v>95</v>
      </c>
      <c r="F185" s="2">
        <v>0</v>
      </c>
      <c r="G185" s="2">
        <v>25</v>
      </c>
    </row>
    <row r="186" spans="2:7" x14ac:dyDescent="0.35">
      <c r="B186" s="1">
        <v>46013</v>
      </c>
      <c r="C186" s="1"/>
      <c r="D186" t="s">
        <v>96</v>
      </c>
      <c r="F186" s="2">
        <v>0</v>
      </c>
      <c r="G186" s="2">
        <v>17.54</v>
      </c>
    </row>
    <row r="187" spans="2:7" x14ac:dyDescent="0.35">
      <c r="B187" s="1"/>
      <c r="C187" s="1"/>
    </row>
    <row r="188" spans="2:7" x14ac:dyDescent="0.35">
      <c r="B188" s="1">
        <v>45960</v>
      </c>
      <c r="C188" s="1"/>
      <c r="D188" t="s">
        <v>97</v>
      </c>
      <c r="F188" s="2">
        <v>0</v>
      </c>
      <c r="G188" s="2">
        <v>1077.08</v>
      </c>
    </row>
    <row r="189" spans="2:7" x14ac:dyDescent="0.35">
      <c r="B189" s="1">
        <v>45964</v>
      </c>
      <c r="C189" s="1"/>
      <c r="D189" t="s">
        <v>97</v>
      </c>
      <c r="F189" s="2">
        <v>0</v>
      </c>
      <c r="G189" s="2">
        <v>1000</v>
      </c>
    </row>
    <row r="190" spans="2:7" x14ac:dyDescent="0.35">
      <c r="B190" s="1">
        <v>45964</v>
      </c>
      <c r="C190" s="1"/>
      <c r="D190" t="s">
        <v>97</v>
      </c>
      <c r="F190" s="2">
        <v>0</v>
      </c>
      <c r="G190" s="2">
        <v>3000</v>
      </c>
    </row>
    <row r="191" spans="2:7" x14ac:dyDescent="0.35">
      <c r="B191" s="1">
        <v>45989</v>
      </c>
      <c r="C191" s="1"/>
      <c r="D191" t="s">
        <v>97</v>
      </c>
      <c r="F191" s="2">
        <v>0</v>
      </c>
      <c r="G191" s="2">
        <v>5886.48</v>
      </c>
    </row>
    <row r="192" spans="2:7" x14ac:dyDescent="0.35">
      <c r="B192" s="1">
        <v>46021</v>
      </c>
      <c r="C192" s="1"/>
      <c r="D192" t="s">
        <v>97</v>
      </c>
      <c r="F192" s="2">
        <v>0</v>
      </c>
      <c r="G192" s="2">
        <v>4480.88</v>
      </c>
    </row>
    <row r="193" spans="2:7" x14ac:dyDescent="0.35">
      <c r="B193" s="1">
        <v>45940</v>
      </c>
      <c r="C193" s="1"/>
      <c r="D193" t="s">
        <v>97</v>
      </c>
      <c r="F193" s="2">
        <v>0</v>
      </c>
      <c r="G193" s="2">
        <v>27.5</v>
      </c>
    </row>
    <row r="194" spans="2:7" x14ac:dyDescent="0.35">
      <c r="B194" s="1">
        <v>45944</v>
      </c>
      <c r="C194" s="1"/>
      <c r="D194" t="s">
        <v>97</v>
      </c>
      <c r="F194" s="2">
        <v>0</v>
      </c>
      <c r="G194" s="2">
        <v>6724.83</v>
      </c>
    </row>
    <row r="195" spans="2:7" x14ac:dyDescent="0.35">
      <c r="B195" s="1">
        <v>45974</v>
      </c>
      <c r="C195" s="1"/>
      <c r="D195" t="s">
        <v>97</v>
      </c>
      <c r="F195" s="2">
        <v>0</v>
      </c>
      <c r="G195" s="2">
        <v>6807.91</v>
      </c>
    </row>
    <row r="196" spans="2:7" x14ac:dyDescent="0.35">
      <c r="B196" s="1">
        <v>45952</v>
      </c>
      <c r="C196" s="1"/>
      <c r="D196" t="s">
        <v>97</v>
      </c>
      <c r="F196" s="2">
        <v>0</v>
      </c>
      <c r="G196" s="2">
        <v>35</v>
      </c>
    </row>
    <row r="197" spans="2:7" x14ac:dyDescent="0.35">
      <c r="B197" s="1">
        <v>46003</v>
      </c>
      <c r="C197" s="1"/>
      <c r="D197" t="s">
        <v>97</v>
      </c>
      <c r="F197" s="2">
        <v>0</v>
      </c>
      <c r="G197" s="2">
        <v>13691</v>
      </c>
    </row>
    <row r="198" spans="2:7" x14ac:dyDescent="0.35">
      <c r="B198" s="1">
        <v>45933</v>
      </c>
      <c r="C198" s="1"/>
      <c r="D198" t="s">
        <v>98</v>
      </c>
      <c r="F198" s="2">
        <v>0</v>
      </c>
      <c r="G198" s="2">
        <v>913</v>
      </c>
    </row>
    <row r="199" spans="2:7" x14ac:dyDescent="0.35">
      <c r="B199" s="1">
        <v>45966</v>
      </c>
      <c r="C199" s="1"/>
      <c r="D199" t="s">
        <v>98</v>
      </c>
      <c r="F199" s="2">
        <v>0</v>
      </c>
      <c r="G199" s="2">
        <v>907</v>
      </c>
    </row>
    <row r="200" spans="2:7" x14ac:dyDescent="0.35">
      <c r="B200" s="1">
        <v>45994</v>
      </c>
      <c r="C200" s="1"/>
      <c r="D200" t="s">
        <v>98</v>
      </c>
      <c r="F200" s="2">
        <v>0</v>
      </c>
      <c r="G200" s="2">
        <v>835</v>
      </c>
    </row>
    <row r="201" spans="2:7" x14ac:dyDescent="0.35">
      <c r="B201" s="1"/>
      <c r="C201" s="1"/>
    </row>
    <row r="202" spans="2:7" x14ac:dyDescent="0.35">
      <c r="B202" s="1"/>
      <c r="C202" s="1"/>
    </row>
    <row r="203" spans="2:7" x14ac:dyDescent="0.35">
      <c r="B203" s="1">
        <v>45944</v>
      </c>
      <c r="C203" s="1"/>
      <c r="D203" t="s">
        <v>99</v>
      </c>
      <c r="F203" s="2">
        <v>0</v>
      </c>
      <c r="G203" s="2">
        <v>615</v>
      </c>
    </row>
    <row r="204" spans="2:7" x14ac:dyDescent="0.35">
      <c r="B204" s="1">
        <v>45960</v>
      </c>
      <c r="C204" s="1"/>
      <c r="D204" t="s">
        <v>100</v>
      </c>
      <c r="F204" s="2">
        <v>0</v>
      </c>
      <c r="G204" s="2">
        <v>1219.8</v>
      </c>
    </row>
    <row r="205" spans="2:7" x14ac:dyDescent="0.35">
      <c r="B205" s="1">
        <v>45960</v>
      </c>
      <c r="C205" s="1"/>
      <c r="D205" t="s">
        <v>100</v>
      </c>
      <c r="F205" s="2">
        <v>0</v>
      </c>
      <c r="G205" s="2">
        <v>745</v>
      </c>
    </row>
    <row r="206" spans="2:7" x14ac:dyDescent="0.35">
      <c r="B206" s="1">
        <v>45960</v>
      </c>
      <c r="C206" s="1"/>
      <c r="D206" t="s">
        <v>100</v>
      </c>
      <c r="F206" s="2">
        <v>0</v>
      </c>
      <c r="G206" s="2">
        <v>1625</v>
      </c>
    </row>
    <row r="207" spans="2:7" x14ac:dyDescent="0.35">
      <c r="B207" s="1">
        <v>45960</v>
      </c>
      <c r="C207" s="1"/>
      <c r="D207" t="s">
        <v>100</v>
      </c>
      <c r="F207" s="2">
        <v>0</v>
      </c>
      <c r="G207" s="2">
        <v>5104</v>
      </c>
    </row>
    <row r="208" spans="2:7" x14ac:dyDescent="0.35">
      <c r="B208" s="1">
        <v>45960</v>
      </c>
      <c r="C208" s="1"/>
      <c r="D208" t="s">
        <v>100</v>
      </c>
      <c r="F208" s="2">
        <v>0</v>
      </c>
      <c r="G208" s="2">
        <v>5265</v>
      </c>
    </row>
    <row r="209" spans="2:7" x14ac:dyDescent="0.35">
      <c r="B209" s="1">
        <v>45960</v>
      </c>
      <c r="C209" s="1"/>
      <c r="D209" t="s">
        <v>100</v>
      </c>
      <c r="F209" s="2">
        <v>0</v>
      </c>
      <c r="G209" s="2">
        <v>6660</v>
      </c>
    </row>
    <row r="210" spans="2:7" x14ac:dyDescent="0.35">
      <c r="B210" s="1">
        <v>45989</v>
      </c>
      <c r="C210" s="1"/>
      <c r="D210" t="s">
        <v>100</v>
      </c>
      <c r="F210" s="2">
        <v>0</v>
      </c>
      <c r="G210" s="2">
        <v>710.2</v>
      </c>
    </row>
    <row r="211" spans="2:7" x14ac:dyDescent="0.35">
      <c r="B211" s="1">
        <v>45989</v>
      </c>
      <c r="C211" s="1"/>
      <c r="D211" t="s">
        <v>100</v>
      </c>
      <c r="F211" s="2">
        <v>0</v>
      </c>
      <c r="G211" s="2">
        <v>840</v>
      </c>
    </row>
    <row r="212" spans="2:7" x14ac:dyDescent="0.35">
      <c r="B212" s="1">
        <v>45989</v>
      </c>
      <c r="C212" s="1"/>
      <c r="D212" t="s">
        <v>100</v>
      </c>
      <c r="F212" s="2">
        <v>0</v>
      </c>
      <c r="G212" s="2">
        <v>1775</v>
      </c>
    </row>
    <row r="213" spans="2:7" x14ac:dyDescent="0.35">
      <c r="B213" s="1">
        <v>45989</v>
      </c>
      <c r="C213" s="1"/>
      <c r="D213" t="s">
        <v>100</v>
      </c>
      <c r="F213" s="2">
        <v>0</v>
      </c>
      <c r="G213" s="2">
        <v>4614</v>
      </c>
    </row>
    <row r="214" spans="2:7" x14ac:dyDescent="0.35">
      <c r="B214" s="1">
        <v>45989</v>
      </c>
      <c r="C214" s="1"/>
      <c r="D214" t="s">
        <v>100</v>
      </c>
      <c r="F214" s="2">
        <v>0</v>
      </c>
      <c r="G214" s="2">
        <v>4976.25</v>
      </c>
    </row>
    <row r="215" spans="2:7" x14ac:dyDescent="0.35">
      <c r="B215" s="1">
        <v>45989</v>
      </c>
      <c r="C215" s="1"/>
      <c r="D215" t="s">
        <v>100</v>
      </c>
      <c r="F215" s="2">
        <v>0</v>
      </c>
      <c r="G215" s="2">
        <v>6270</v>
      </c>
    </row>
    <row r="216" spans="2:7" x14ac:dyDescent="0.35">
      <c r="B216" s="1">
        <v>46021</v>
      </c>
      <c r="C216" s="1"/>
      <c r="D216" t="s">
        <v>100</v>
      </c>
      <c r="F216" s="2">
        <v>0</v>
      </c>
      <c r="G216" s="2">
        <v>1525.63</v>
      </c>
    </row>
    <row r="217" spans="2:7" x14ac:dyDescent="0.35">
      <c r="B217" s="1">
        <v>46021</v>
      </c>
      <c r="C217" s="1"/>
      <c r="D217" t="s">
        <v>100</v>
      </c>
      <c r="F217" s="2">
        <v>0</v>
      </c>
      <c r="G217" s="2">
        <v>1625</v>
      </c>
    </row>
    <row r="218" spans="2:7" x14ac:dyDescent="0.35">
      <c r="B218" s="1">
        <v>46021</v>
      </c>
      <c r="C218" s="1"/>
      <c r="D218" t="s">
        <v>100</v>
      </c>
      <c r="F218" s="2">
        <v>0</v>
      </c>
      <c r="G218" s="2">
        <v>2050.1999999999998</v>
      </c>
    </row>
    <row r="219" spans="2:7" x14ac:dyDescent="0.35">
      <c r="B219" s="1">
        <v>46021</v>
      </c>
      <c r="C219" s="1"/>
      <c r="D219" t="s">
        <v>100</v>
      </c>
      <c r="F219" s="2">
        <v>0</v>
      </c>
      <c r="G219" s="2">
        <v>2970</v>
      </c>
    </row>
    <row r="220" spans="2:7" x14ac:dyDescent="0.35">
      <c r="B220" s="1">
        <v>46021</v>
      </c>
      <c r="C220" s="1"/>
      <c r="D220" t="s">
        <v>100</v>
      </c>
      <c r="F220" s="2">
        <v>0</v>
      </c>
      <c r="G220" s="2">
        <v>4480</v>
      </c>
    </row>
    <row r="221" spans="2:7" x14ac:dyDescent="0.35">
      <c r="B221" s="1">
        <v>46021</v>
      </c>
      <c r="C221" s="1"/>
      <c r="D221" t="s">
        <v>100</v>
      </c>
      <c r="F221" s="2">
        <v>0</v>
      </c>
      <c r="G221" s="2">
        <v>6390</v>
      </c>
    </row>
    <row r="222" spans="2:7" x14ac:dyDescent="0.35">
      <c r="B222" s="1">
        <v>45944</v>
      </c>
      <c r="C222" s="1"/>
      <c r="D222" t="s">
        <v>100</v>
      </c>
      <c r="F222" s="2">
        <v>0</v>
      </c>
      <c r="G222" s="2">
        <v>974.38</v>
      </c>
    </row>
    <row r="223" spans="2:7" x14ac:dyDescent="0.35">
      <c r="B223" s="1">
        <v>45944</v>
      </c>
      <c r="C223" s="1"/>
      <c r="D223" t="s">
        <v>100</v>
      </c>
      <c r="F223" s="2">
        <v>0</v>
      </c>
      <c r="G223" s="2">
        <v>1625</v>
      </c>
    </row>
    <row r="224" spans="2:7" x14ac:dyDescent="0.35">
      <c r="B224" s="1">
        <v>45944</v>
      </c>
      <c r="C224" s="1"/>
      <c r="D224" t="s">
        <v>100</v>
      </c>
      <c r="F224" s="2">
        <v>0</v>
      </c>
      <c r="G224" s="2">
        <v>4266</v>
      </c>
    </row>
    <row r="225" spans="2:7" x14ac:dyDescent="0.35">
      <c r="B225" s="1">
        <v>45944</v>
      </c>
      <c r="C225" s="1"/>
      <c r="D225" t="s">
        <v>100</v>
      </c>
      <c r="F225" s="2">
        <v>0</v>
      </c>
      <c r="G225" s="2">
        <v>4800</v>
      </c>
    </row>
    <row r="226" spans="2:7" x14ac:dyDescent="0.35">
      <c r="B226" s="1">
        <v>45944</v>
      </c>
      <c r="C226" s="1"/>
      <c r="D226" t="s">
        <v>100</v>
      </c>
      <c r="F226" s="2">
        <v>0</v>
      </c>
      <c r="G226" s="2">
        <v>3510</v>
      </c>
    </row>
    <row r="227" spans="2:7" x14ac:dyDescent="0.35">
      <c r="B227" s="1">
        <v>45974</v>
      </c>
      <c r="C227" s="1"/>
      <c r="D227" t="s">
        <v>100</v>
      </c>
      <c r="F227" s="2">
        <v>0</v>
      </c>
      <c r="G227" s="2">
        <v>620.4</v>
      </c>
    </row>
    <row r="228" spans="2:7" x14ac:dyDescent="0.35">
      <c r="B228" s="1">
        <v>45974</v>
      </c>
      <c r="C228" s="1"/>
      <c r="D228" t="s">
        <v>100</v>
      </c>
      <c r="F228" s="2">
        <v>0</v>
      </c>
      <c r="G228" s="2">
        <v>1093.75</v>
      </c>
    </row>
    <row r="229" spans="2:7" x14ac:dyDescent="0.35">
      <c r="B229" s="1">
        <v>45974</v>
      </c>
      <c r="C229" s="1"/>
      <c r="D229" t="s">
        <v>100</v>
      </c>
      <c r="F229" s="2">
        <v>0</v>
      </c>
      <c r="G229" s="2">
        <v>1625</v>
      </c>
    </row>
    <row r="230" spans="2:7" x14ac:dyDescent="0.35">
      <c r="B230" s="1">
        <v>45974</v>
      </c>
      <c r="C230" s="1"/>
      <c r="D230" t="s">
        <v>100</v>
      </c>
      <c r="F230" s="2">
        <v>0</v>
      </c>
      <c r="G230" s="2">
        <v>4202</v>
      </c>
    </row>
    <row r="231" spans="2:7" x14ac:dyDescent="0.35">
      <c r="B231" s="1">
        <v>45974</v>
      </c>
      <c r="C231" s="1"/>
      <c r="D231" t="s">
        <v>100</v>
      </c>
      <c r="F231" s="2">
        <v>0</v>
      </c>
      <c r="G231" s="2">
        <v>4758.75</v>
      </c>
    </row>
    <row r="232" spans="2:7" x14ac:dyDescent="0.35">
      <c r="B232" s="1">
        <v>45974</v>
      </c>
      <c r="C232" s="1"/>
      <c r="D232" t="s">
        <v>100</v>
      </c>
      <c r="F232" s="2">
        <v>0</v>
      </c>
      <c r="G232" s="2">
        <v>5340</v>
      </c>
    </row>
    <row r="233" spans="2:7" x14ac:dyDescent="0.35">
      <c r="B233" s="1">
        <v>46003</v>
      </c>
      <c r="C233" s="1"/>
      <c r="D233" t="s">
        <v>100</v>
      </c>
      <c r="F233" s="2">
        <v>0</v>
      </c>
      <c r="G233" s="2">
        <v>1195.6300000000001</v>
      </c>
    </row>
    <row r="234" spans="2:7" x14ac:dyDescent="0.35">
      <c r="B234" s="1">
        <v>46003</v>
      </c>
      <c r="C234" s="1"/>
      <c r="D234" t="s">
        <v>100</v>
      </c>
      <c r="F234" s="2">
        <v>0</v>
      </c>
      <c r="G234" s="2">
        <v>1470.2</v>
      </c>
    </row>
    <row r="235" spans="2:7" x14ac:dyDescent="0.35">
      <c r="B235" s="1">
        <v>46003</v>
      </c>
      <c r="C235" s="1"/>
      <c r="D235" t="s">
        <v>100</v>
      </c>
      <c r="F235" s="2">
        <v>0</v>
      </c>
      <c r="G235" s="2">
        <v>1625</v>
      </c>
    </row>
    <row r="236" spans="2:7" x14ac:dyDescent="0.35">
      <c r="B236" s="1">
        <v>46003</v>
      </c>
      <c r="C236" s="1"/>
      <c r="D236" t="s">
        <v>100</v>
      </c>
      <c r="F236" s="2">
        <v>0</v>
      </c>
      <c r="G236" s="2">
        <v>3475</v>
      </c>
    </row>
    <row r="237" spans="2:7" x14ac:dyDescent="0.35">
      <c r="B237" s="1">
        <v>46003</v>
      </c>
      <c r="C237" s="1"/>
      <c r="D237" t="s">
        <v>100</v>
      </c>
      <c r="F237" s="2">
        <v>0</v>
      </c>
      <c r="G237" s="2">
        <v>4462</v>
      </c>
    </row>
    <row r="238" spans="2:7" x14ac:dyDescent="0.35">
      <c r="B238" s="1">
        <v>46003</v>
      </c>
      <c r="C238" s="1"/>
      <c r="D238" t="s">
        <v>100</v>
      </c>
      <c r="F238" s="2">
        <v>0</v>
      </c>
      <c r="G238" s="2">
        <v>5200</v>
      </c>
    </row>
    <row r="242" spans="2:7" x14ac:dyDescent="0.35">
      <c r="B242" s="1"/>
      <c r="C242" s="1"/>
    </row>
    <row r="243" spans="2:7" x14ac:dyDescent="0.35">
      <c r="B243" s="1"/>
      <c r="C243" s="1"/>
    </row>
    <row r="244" spans="2:7" x14ac:dyDescent="0.35">
      <c r="B244" s="1"/>
      <c r="C244" s="1"/>
    </row>
    <row r="245" spans="2:7" x14ac:dyDescent="0.35">
      <c r="B245" s="1">
        <v>45980</v>
      </c>
      <c r="C245" s="1"/>
      <c r="D245" t="s">
        <v>101</v>
      </c>
      <c r="F245" s="2">
        <v>0</v>
      </c>
      <c r="G245" s="2">
        <v>114.6</v>
      </c>
    </row>
    <row r="246" spans="2:7" x14ac:dyDescent="0.35">
      <c r="B246" s="1">
        <v>45980</v>
      </c>
      <c r="C246" s="1"/>
      <c r="D246" t="s">
        <v>101</v>
      </c>
      <c r="F246" s="2">
        <v>0</v>
      </c>
      <c r="G246" s="2">
        <v>736.8</v>
      </c>
    </row>
    <row r="247" spans="2:7" x14ac:dyDescent="0.35">
      <c r="B247" s="1">
        <v>46007</v>
      </c>
      <c r="C247" s="1"/>
      <c r="D247" t="s">
        <v>101</v>
      </c>
      <c r="F247" s="2">
        <v>0</v>
      </c>
      <c r="G247" s="2">
        <v>948.58</v>
      </c>
    </row>
    <row r="248" spans="2:7" x14ac:dyDescent="0.35">
      <c r="B248" s="1">
        <v>45932</v>
      </c>
      <c r="C248" s="1"/>
      <c r="D248" t="s">
        <v>101</v>
      </c>
      <c r="F248" s="2">
        <v>0</v>
      </c>
      <c r="G248" s="2">
        <v>717.64</v>
      </c>
    </row>
    <row r="249" spans="2:7" x14ac:dyDescent="0.35">
      <c r="B249" s="1">
        <v>45960</v>
      </c>
      <c r="C249" s="1"/>
      <c r="D249" t="s">
        <v>101</v>
      </c>
      <c r="F249" s="2">
        <v>0</v>
      </c>
      <c r="G249" s="2">
        <v>741.73</v>
      </c>
    </row>
    <row r="250" spans="2:7" x14ac:dyDescent="0.35">
      <c r="B250" s="1">
        <v>45960</v>
      </c>
      <c r="C250" s="1"/>
      <c r="D250" t="s">
        <v>101</v>
      </c>
      <c r="F250" s="2">
        <v>0</v>
      </c>
      <c r="G250" s="2">
        <v>108094.51</v>
      </c>
    </row>
    <row r="251" spans="2:7" x14ac:dyDescent="0.35">
      <c r="B251" s="1">
        <v>45989</v>
      </c>
      <c r="C251" s="1"/>
      <c r="D251" t="s">
        <v>101</v>
      </c>
      <c r="F251" s="2">
        <v>0</v>
      </c>
      <c r="G251" s="2">
        <v>94370.58</v>
      </c>
    </row>
    <row r="252" spans="2:7" x14ac:dyDescent="0.35">
      <c r="B252" s="1">
        <v>46021</v>
      </c>
      <c r="C252" s="1"/>
      <c r="D252" t="s">
        <v>101</v>
      </c>
      <c r="F252" s="2">
        <v>0</v>
      </c>
      <c r="G252" s="2">
        <v>255.25</v>
      </c>
    </row>
    <row r="253" spans="2:7" x14ac:dyDescent="0.35">
      <c r="B253" s="1">
        <v>46021</v>
      </c>
      <c r="C253" s="1"/>
      <c r="D253" t="s">
        <v>101</v>
      </c>
      <c r="F253" s="2">
        <v>0</v>
      </c>
      <c r="G253" s="2">
        <v>104413.75999999999</v>
      </c>
    </row>
    <row r="254" spans="2:7" x14ac:dyDescent="0.35">
      <c r="B254" s="1">
        <v>45940</v>
      </c>
      <c r="C254" s="1"/>
      <c r="D254" t="s">
        <v>101</v>
      </c>
      <c r="F254" s="2">
        <v>0</v>
      </c>
      <c r="G254" s="2">
        <v>1544.58</v>
      </c>
    </row>
    <row r="255" spans="2:7" x14ac:dyDescent="0.35">
      <c r="B255" s="1">
        <v>45993</v>
      </c>
      <c r="C255" s="1"/>
      <c r="D255" t="s">
        <v>101</v>
      </c>
      <c r="F255" s="2">
        <v>0</v>
      </c>
      <c r="G255" s="2">
        <v>694.03</v>
      </c>
    </row>
    <row r="256" spans="2:7" x14ac:dyDescent="0.35">
      <c r="B256" s="1">
        <v>45944</v>
      </c>
      <c r="C256" s="1"/>
      <c r="D256" t="s">
        <v>101</v>
      </c>
      <c r="F256" s="2">
        <v>0</v>
      </c>
      <c r="G256" s="2">
        <v>84337.58</v>
      </c>
    </row>
    <row r="257" spans="2:7" x14ac:dyDescent="0.35">
      <c r="B257" s="1">
        <v>45994</v>
      </c>
      <c r="C257" s="1"/>
      <c r="D257" t="s">
        <v>101</v>
      </c>
      <c r="F257" s="2">
        <v>0</v>
      </c>
      <c r="G257" s="2">
        <v>65.62</v>
      </c>
    </row>
    <row r="258" spans="2:7" x14ac:dyDescent="0.35">
      <c r="B258" s="1">
        <v>45946</v>
      </c>
      <c r="C258" s="1"/>
      <c r="D258" t="s">
        <v>101</v>
      </c>
      <c r="F258" s="2">
        <v>0</v>
      </c>
      <c r="G258" s="2">
        <v>2460.39</v>
      </c>
    </row>
    <row r="259" spans="2:7" x14ac:dyDescent="0.35">
      <c r="B259" s="1">
        <v>45946</v>
      </c>
      <c r="C259" s="1"/>
      <c r="D259" t="s">
        <v>101</v>
      </c>
      <c r="F259" s="2">
        <v>0</v>
      </c>
      <c r="G259" s="2">
        <v>279.18</v>
      </c>
    </row>
    <row r="260" spans="2:7" x14ac:dyDescent="0.35">
      <c r="B260" s="1">
        <v>45974</v>
      </c>
      <c r="C260" s="1"/>
      <c r="D260" t="s">
        <v>101</v>
      </c>
      <c r="F260" s="2">
        <v>0</v>
      </c>
      <c r="G260" s="2">
        <v>84583.39</v>
      </c>
    </row>
    <row r="261" spans="2:7" x14ac:dyDescent="0.35">
      <c r="B261" s="1">
        <v>45951</v>
      </c>
      <c r="C261" s="1"/>
      <c r="D261" t="s">
        <v>101</v>
      </c>
      <c r="F261" s="2">
        <v>0</v>
      </c>
      <c r="G261" s="2">
        <v>318.64999999999998</v>
      </c>
    </row>
    <row r="262" spans="2:7" x14ac:dyDescent="0.35">
      <c r="B262" s="1">
        <v>45952</v>
      </c>
      <c r="C262" s="1"/>
      <c r="D262" t="s">
        <v>101</v>
      </c>
      <c r="F262" s="2">
        <v>0</v>
      </c>
      <c r="G262" s="2">
        <v>570.64</v>
      </c>
    </row>
    <row r="263" spans="2:7" x14ac:dyDescent="0.35">
      <c r="B263" s="1">
        <v>46003</v>
      </c>
      <c r="C263" s="1"/>
      <c r="D263" t="s">
        <v>101</v>
      </c>
      <c r="F263" s="2">
        <v>0</v>
      </c>
      <c r="G263" s="2">
        <v>86233.3</v>
      </c>
    </row>
    <row r="265" spans="2:7" x14ac:dyDescent="0.35">
      <c r="B265" s="1">
        <v>45980</v>
      </c>
      <c r="C265" s="1"/>
      <c r="D265" t="s">
        <v>102</v>
      </c>
      <c r="F265" s="2">
        <v>0</v>
      </c>
      <c r="G265" s="2">
        <v>21.44</v>
      </c>
    </row>
    <row r="266" spans="2:7" x14ac:dyDescent="0.35">
      <c r="B266" s="1">
        <v>45980</v>
      </c>
      <c r="C266" s="1"/>
      <c r="D266" t="s">
        <v>102</v>
      </c>
      <c r="F266" s="2">
        <v>0</v>
      </c>
      <c r="G266" s="2">
        <v>139.9</v>
      </c>
    </row>
    <row r="267" spans="2:7" x14ac:dyDescent="0.35">
      <c r="B267" s="1">
        <v>45954</v>
      </c>
      <c r="C267" s="1"/>
      <c r="D267" t="s">
        <v>102</v>
      </c>
      <c r="F267" s="2">
        <v>0</v>
      </c>
      <c r="G267" s="2">
        <v>260.76</v>
      </c>
    </row>
    <row r="268" spans="2:7" x14ac:dyDescent="0.35">
      <c r="B268" s="1">
        <v>46007</v>
      </c>
      <c r="C268" s="1"/>
      <c r="D268" t="s">
        <v>102</v>
      </c>
      <c r="F268" s="2">
        <v>0</v>
      </c>
      <c r="G268" s="2">
        <v>208.42</v>
      </c>
    </row>
    <row r="269" spans="2:7" x14ac:dyDescent="0.35">
      <c r="B269" s="1">
        <v>45932</v>
      </c>
      <c r="C269" s="1"/>
      <c r="D269" t="s">
        <v>102</v>
      </c>
      <c r="F269" s="2">
        <v>0</v>
      </c>
      <c r="G269" s="2">
        <v>152.72</v>
      </c>
    </row>
    <row r="270" spans="2:7" x14ac:dyDescent="0.35">
      <c r="B270" s="1">
        <v>45960</v>
      </c>
      <c r="C270" s="1"/>
      <c r="D270" t="s">
        <v>102</v>
      </c>
      <c r="F270" s="2">
        <v>0</v>
      </c>
      <c r="G270" s="2">
        <v>36899.25</v>
      </c>
    </row>
    <row r="271" spans="2:7" x14ac:dyDescent="0.35">
      <c r="B271" s="1">
        <v>45960</v>
      </c>
      <c r="C271" s="1"/>
      <c r="D271" t="s">
        <v>102</v>
      </c>
      <c r="F271" s="2">
        <v>0</v>
      </c>
      <c r="G271" s="2">
        <v>134.27000000000001</v>
      </c>
    </row>
    <row r="272" spans="2:7" x14ac:dyDescent="0.35">
      <c r="B272" s="1">
        <v>45989</v>
      </c>
      <c r="C272" s="1"/>
      <c r="D272" t="s">
        <v>102</v>
      </c>
      <c r="F272" s="2">
        <v>0</v>
      </c>
      <c r="G272" s="2">
        <v>30377.81</v>
      </c>
    </row>
    <row r="273" spans="2:7" x14ac:dyDescent="0.35">
      <c r="B273" s="1">
        <v>46021</v>
      </c>
      <c r="C273" s="1"/>
      <c r="D273" t="s">
        <v>102</v>
      </c>
      <c r="F273" s="2">
        <v>0</v>
      </c>
      <c r="G273" s="2">
        <v>47.79</v>
      </c>
    </row>
    <row r="274" spans="2:7" x14ac:dyDescent="0.35">
      <c r="B274" s="1">
        <v>46021</v>
      </c>
      <c r="C274" s="1"/>
      <c r="D274" t="s">
        <v>102</v>
      </c>
      <c r="F274" s="2">
        <v>0</v>
      </c>
      <c r="G274" s="2">
        <v>35094.93</v>
      </c>
    </row>
    <row r="275" spans="2:7" x14ac:dyDescent="0.35">
      <c r="B275" s="1">
        <v>45940</v>
      </c>
      <c r="C275" s="1"/>
      <c r="D275" t="s">
        <v>102</v>
      </c>
      <c r="F275" s="2">
        <v>0</v>
      </c>
      <c r="G275" s="2">
        <v>514.15</v>
      </c>
    </row>
    <row r="276" spans="2:7" x14ac:dyDescent="0.35">
      <c r="B276" s="1">
        <v>45993</v>
      </c>
      <c r="C276" s="1"/>
      <c r="D276" t="s">
        <v>102</v>
      </c>
      <c r="F276" s="2">
        <v>0</v>
      </c>
      <c r="G276" s="2">
        <v>153.44999999999999</v>
      </c>
    </row>
    <row r="277" spans="2:7" x14ac:dyDescent="0.35">
      <c r="B277" s="1">
        <v>45944</v>
      </c>
      <c r="C277" s="1"/>
      <c r="D277" t="s">
        <v>102</v>
      </c>
      <c r="F277" s="2">
        <v>0</v>
      </c>
      <c r="G277" s="2">
        <v>26280.81</v>
      </c>
    </row>
    <row r="278" spans="2:7" x14ac:dyDescent="0.35">
      <c r="B278" s="1">
        <v>45994</v>
      </c>
      <c r="C278" s="1"/>
      <c r="D278" t="s">
        <v>102</v>
      </c>
      <c r="F278" s="2">
        <v>0</v>
      </c>
      <c r="G278" s="2">
        <v>14.99</v>
      </c>
    </row>
    <row r="279" spans="2:7" x14ac:dyDescent="0.35">
      <c r="B279" s="1">
        <v>45971</v>
      </c>
      <c r="C279" s="1"/>
      <c r="D279" t="s">
        <v>102</v>
      </c>
      <c r="F279" s="2">
        <v>0</v>
      </c>
      <c r="G279" s="2">
        <v>176.79</v>
      </c>
    </row>
    <row r="280" spans="2:7" x14ac:dyDescent="0.35">
      <c r="B280" s="1">
        <v>45946</v>
      </c>
      <c r="C280" s="1"/>
      <c r="D280" t="s">
        <v>102</v>
      </c>
      <c r="F280" s="2">
        <v>0</v>
      </c>
      <c r="G280" s="2">
        <v>54.11</v>
      </c>
    </row>
    <row r="281" spans="2:7" x14ac:dyDescent="0.35">
      <c r="B281" s="1">
        <v>45946</v>
      </c>
      <c r="C281" s="1"/>
      <c r="D281" t="s">
        <v>102</v>
      </c>
      <c r="F281" s="2">
        <v>0</v>
      </c>
      <c r="G281" s="2">
        <v>497.29</v>
      </c>
    </row>
    <row r="282" spans="2:7" x14ac:dyDescent="0.35">
      <c r="B282" s="1">
        <v>45974</v>
      </c>
      <c r="C282" s="1"/>
      <c r="D282" t="s">
        <v>102</v>
      </c>
      <c r="F282" s="2">
        <v>0</v>
      </c>
      <c r="G282" s="2">
        <v>26515.26</v>
      </c>
    </row>
    <row r="283" spans="2:7" x14ac:dyDescent="0.35">
      <c r="B283" s="1">
        <v>45951</v>
      </c>
      <c r="C283" s="1"/>
      <c r="D283" t="s">
        <v>102</v>
      </c>
      <c r="F283" s="2">
        <v>0</v>
      </c>
      <c r="G283" s="2">
        <v>72.72</v>
      </c>
    </row>
    <row r="284" spans="2:7" x14ac:dyDescent="0.35">
      <c r="B284" s="1">
        <v>45952</v>
      </c>
      <c r="C284" s="1"/>
      <c r="D284" t="s">
        <v>102</v>
      </c>
      <c r="F284" s="2">
        <v>0</v>
      </c>
      <c r="G284" s="2">
        <v>105.92</v>
      </c>
    </row>
    <row r="285" spans="2:7" x14ac:dyDescent="0.35">
      <c r="B285" s="1">
        <v>46003</v>
      </c>
      <c r="C285" s="1"/>
      <c r="D285" t="s">
        <v>102</v>
      </c>
      <c r="F285" s="2">
        <v>0</v>
      </c>
      <c r="G285" s="2">
        <v>27114.14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70"/>
  <sheetViews>
    <sheetView workbookViewId="0">
      <selection sqref="A1:XFD1048576"/>
    </sheetView>
  </sheetViews>
  <sheetFormatPr defaultRowHeight="14.5" x14ac:dyDescent="0.35"/>
  <sheetData>
    <row r="1" spans="1:8" x14ac:dyDescent="0.35">
      <c r="A1" s="3"/>
      <c r="B1" s="3"/>
      <c r="C1" s="3"/>
      <c r="D1" s="3"/>
      <c r="E1" s="3"/>
      <c r="F1" s="3"/>
      <c r="G1" s="3"/>
      <c r="H1" s="3"/>
    </row>
    <row r="2" spans="1:8" x14ac:dyDescent="0.35">
      <c r="C2" s="4"/>
    </row>
    <row r="3" spans="1:8" x14ac:dyDescent="0.35">
      <c r="C3" s="4"/>
    </row>
    <row r="4" spans="1:8" x14ac:dyDescent="0.35">
      <c r="C4" s="4"/>
    </row>
    <row r="5" spans="1:8" x14ac:dyDescent="0.35">
      <c r="C5" s="4"/>
    </row>
    <row r="6" spans="1:8" x14ac:dyDescent="0.35">
      <c r="C6" s="4"/>
    </row>
    <row r="7" spans="1:8" x14ac:dyDescent="0.35">
      <c r="C7" s="4"/>
    </row>
    <row r="8" spans="1:8" x14ac:dyDescent="0.35">
      <c r="C8" s="4"/>
    </row>
    <row r="9" spans="1:8" x14ac:dyDescent="0.35">
      <c r="C9" s="4"/>
    </row>
    <row r="10" spans="1:8" x14ac:dyDescent="0.35">
      <c r="C10" s="4"/>
    </row>
    <row r="11" spans="1:8" x14ac:dyDescent="0.35">
      <c r="C11" s="4"/>
    </row>
    <row r="12" spans="1:8" x14ac:dyDescent="0.35">
      <c r="C12" s="4"/>
    </row>
    <row r="13" spans="1:8" x14ac:dyDescent="0.35">
      <c r="C13" s="4"/>
    </row>
    <row r="14" spans="1:8" x14ac:dyDescent="0.35">
      <c r="C14" s="4"/>
    </row>
    <row r="15" spans="1:8" x14ac:dyDescent="0.35">
      <c r="C15" s="4"/>
    </row>
    <row r="16" spans="1:8" x14ac:dyDescent="0.35">
      <c r="C16" s="4"/>
    </row>
    <row r="17" spans="3:3" x14ac:dyDescent="0.35">
      <c r="C17" s="4"/>
    </row>
    <row r="18" spans="3:3" x14ac:dyDescent="0.35">
      <c r="C18" s="4"/>
    </row>
    <row r="19" spans="3:3" x14ac:dyDescent="0.35">
      <c r="C19" s="4"/>
    </row>
    <row r="20" spans="3:3" x14ac:dyDescent="0.35">
      <c r="C20" s="4"/>
    </row>
    <row r="21" spans="3:3" x14ac:dyDescent="0.35">
      <c r="C21" s="4"/>
    </row>
    <row r="22" spans="3:3" x14ac:dyDescent="0.35">
      <c r="C22" s="4"/>
    </row>
    <row r="23" spans="3:3" x14ac:dyDescent="0.35">
      <c r="C23" s="4"/>
    </row>
    <row r="24" spans="3:3" x14ac:dyDescent="0.35">
      <c r="C24" s="4"/>
    </row>
    <row r="25" spans="3:3" x14ac:dyDescent="0.35">
      <c r="C25" s="4"/>
    </row>
    <row r="26" spans="3:3" x14ac:dyDescent="0.35">
      <c r="C26" s="4"/>
    </row>
    <row r="28" spans="3:3" x14ac:dyDescent="0.35">
      <c r="C28" s="4"/>
    </row>
    <row r="29" spans="3:3" x14ac:dyDescent="0.35">
      <c r="C29" s="4"/>
    </row>
    <row r="30" spans="3:3" x14ac:dyDescent="0.35">
      <c r="C30" s="4"/>
    </row>
    <row r="31" spans="3:3" x14ac:dyDescent="0.35">
      <c r="C31" s="4"/>
    </row>
    <row r="32" spans="3:3" x14ac:dyDescent="0.35">
      <c r="C32" s="4"/>
    </row>
    <row r="33" spans="3:3" x14ac:dyDescent="0.35">
      <c r="C33" s="4"/>
    </row>
    <row r="34" spans="3:3" x14ac:dyDescent="0.35">
      <c r="C34" s="4"/>
    </row>
    <row r="35" spans="3:3" x14ac:dyDescent="0.35">
      <c r="C35" s="4"/>
    </row>
    <row r="36" spans="3:3" x14ac:dyDescent="0.35">
      <c r="C36" s="4"/>
    </row>
    <row r="37" spans="3:3" x14ac:dyDescent="0.35">
      <c r="C37" s="4"/>
    </row>
    <row r="38" spans="3:3" x14ac:dyDescent="0.35">
      <c r="C38" s="4"/>
    </row>
    <row r="39" spans="3:3" x14ac:dyDescent="0.35">
      <c r="C39" s="4"/>
    </row>
    <row r="40" spans="3:3" x14ac:dyDescent="0.35">
      <c r="C40" s="4"/>
    </row>
    <row r="41" spans="3:3" x14ac:dyDescent="0.35">
      <c r="C41" s="4"/>
    </row>
    <row r="42" spans="3:3" x14ac:dyDescent="0.35">
      <c r="C42" s="4"/>
    </row>
    <row r="43" spans="3:3" x14ac:dyDescent="0.35">
      <c r="C43" s="4"/>
    </row>
    <row r="44" spans="3:3" x14ac:dyDescent="0.35">
      <c r="C44" s="4"/>
    </row>
    <row r="45" spans="3:3" x14ac:dyDescent="0.35">
      <c r="C45" s="4"/>
    </row>
    <row r="46" spans="3:3" x14ac:dyDescent="0.35">
      <c r="C46" s="4"/>
    </row>
    <row r="47" spans="3:3" x14ac:dyDescent="0.35">
      <c r="C47" s="4"/>
    </row>
    <row r="48" spans="3:3" x14ac:dyDescent="0.35">
      <c r="C48" s="4"/>
    </row>
    <row r="49" spans="3:3" x14ac:dyDescent="0.35">
      <c r="C49" s="4"/>
    </row>
    <row r="50" spans="3:3" x14ac:dyDescent="0.35">
      <c r="C50" s="4"/>
    </row>
    <row r="51" spans="3:3" x14ac:dyDescent="0.35">
      <c r="C51" s="4"/>
    </row>
    <row r="52" spans="3:3" x14ac:dyDescent="0.35">
      <c r="C52" s="4"/>
    </row>
    <row r="53" spans="3:3" x14ac:dyDescent="0.35">
      <c r="C53" s="4"/>
    </row>
    <row r="54" spans="3:3" x14ac:dyDescent="0.35">
      <c r="C54" s="4"/>
    </row>
    <row r="55" spans="3:3" x14ac:dyDescent="0.35">
      <c r="C55" s="4"/>
    </row>
    <row r="56" spans="3:3" x14ac:dyDescent="0.35">
      <c r="C56" s="4"/>
    </row>
    <row r="57" spans="3:3" x14ac:dyDescent="0.35">
      <c r="C57" s="4"/>
    </row>
    <row r="58" spans="3:3" x14ac:dyDescent="0.35">
      <c r="C58" s="4"/>
    </row>
    <row r="59" spans="3:3" x14ac:dyDescent="0.35">
      <c r="C59" s="4"/>
    </row>
    <row r="60" spans="3:3" x14ac:dyDescent="0.35">
      <c r="C60" s="4"/>
    </row>
    <row r="61" spans="3:3" x14ac:dyDescent="0.35">
      <c r="C61" s="4"/>
    </row>
    <row r="62" spans="3:3" x14ac:dyDescent="0.35">
      <c r="C62" s="4"/>
    </row>
    <row r="63" spans="3:3" x14ac:dyDescent="0.35">
      <c r="C63" s="4"/>
    </row>
    <row r="64" spans="3:3" x14ac:dyDescent="0.35">
      <c r="C64" s="4"/>
    </row>
    <row r="65" spans="3:3" x14ac:dyDescent="0.35">
      <c r="C65" s="4"/>
    </row>
    <row r="66" spans="3:3" x14ac:dyDescent="0.35">
      <c r="C66" s="4"/>
    </row>
    <row r="67" spans="3:3" x14ac:dyDescent="0.35">
      <c r="C67" s="4"/>
    </row>
    <row r="68" spans="3:3" x14ac:dyDescent="0.35">
      <c r="C68" s="4"/>
    </row>
    <row r="69" spans="3:3" x14ac:dyDescent="0.35">
      <c r="C69" s="4"/>
    </row>
    <row r="70" spans="3:3" x14ac:dyDescent="0.35">
      <c r="C70" s="4"/>
    </row>
    <row r="71" spans="3:3" x14ac:dyDescent="0.35">
      <c r="C71" s="4"/>
    </row>
    <row r="72" spans="3:3" x14ac:dyDescent="0.35">
      <c r="C72" s="4"/>
    </row>
    <row r="73" spans="3:3" x14ac:dyDescent="0.35">
      <c r="C73" s="4"/>
    </row>
    <row r="74" spans="3:3" x14ac:dyDescent="0.35">
      <c r="C74" s="4"/>
    </row>
    <row r="75" spans="3:3" x14ac:dyDescent="0.35">
      <c r="C75" s="4"/>
    </row>
    <row r="76" spans="3:3" x14ac:dyDescent="0.35">
      <c r="C76" s="4"/>
    </row>
    <row r="77" spans="3:3" x14ac:dyDescent="0.35">
      <c r="C77" s="4"/>
    </row>
    <row r="78" spans="3:3" x14ac:dyDescent="0.35">
      <c r="C78" s="4"/>
    </row>
    <row r="79" spans="3:3" x14ac:dyDescent="0.35">
      <c r="C79" s="4"/>
    </row>
    <row r="80" spans="3:3" x14ac:dyDescent="0.35">
      <c r="C80" s="4"/>
    </row>
    <row r="81" spans="3:3" x14ac:dyDescent="0.35">
      <c r="C81" s="4"/>
    </row>
    <row r="82" spans="3:3" x14ac:dyDescent="0.35">
      <c r="C82" s="4"/>
    </row>
    <row r="83" spans="3:3" x14ac:dyDescent="0.35">
      <c r="C83" s="4"/>
    </row>
    <row r="84" spans="3:3" x14ac:dyDescent="0.35">
      <c r="C84" s="4"/>
    </row>
    <row r="85" spans="3:3" x14ac:dyDescent="0.35">
      <c r="C85" s="4"/>
    </row>
    <row r="86" spans="3:3" x14ac:dyDescent="0.35">
      <c r="C86" s="4"/>
    </row>
    <row r="87" spans="3:3" x14ac:dyDescent="0.35">
      <c r="C87" s="4"/>
    </row>
    <row r="88" spans="3:3" x14ac:dyDescent="0.35">
      <c r="C88" s="4"/>
    </row>
    <row r="89" spans="3:3" x14ac:dyDescent="0.35">
      <c r="C89" s="4"/>
    </row>
    <row r="90" spans="3:3" x14ac:dyDescent="0.35">
      <c r="C90" s="4"/>
    </row>
    <row r="91" spans="3:3" x14ac:dyDescent="0.35">
      <c r="C91" s="4"/>
    </row>
    <row r="92" spans="3:3" x14ac:dyDescent="0.35">
      <c r="C92" s="4"/>
    </row>
    <row r="93" spans="3:3" x14ac:dyDescent="0.35">
      <c r="C93" s="4"/>
    </row>
    <row r="94" spans="3:3" x14ac:dyDescent="0.35">
      <c r="C94" s="4"/>
    </row>
    <row r="95" spans="3:3" x14ac:dyDescent="0.35">
      <c r="C95" s="4"/>
    </row>
    <row r="96" spans="3:3" x14ac:dyDescent="0.35">
      <c r="C96" s="4"/>
    </row>
    <row r="97" spans="3:3" x14ac:dyDescent="0.35">
      <c r="C97" s="4"/>
    </row>
    <row r="98" spans="3:3" x14ac:dyDescent="0.35">
      <c r="C98" s="4"/>
    </row>
    <row r="99" spans="3:3" x14ac:dyDescent="0.35">
      <c r="C99" s="4"/>
    </row>
    <row r="100" spans="3:3" x14ac:dyDescent="0.35">
      <c r="C100" s="4"/>
    </row>
    <row r="101" spans="3:3" x14ac:dyDescent="0.35">
      <c r="C101" s="4"/>
    </row>
    <row r="102" spans="3:3" x14ac:dyDescent="0.35">
      <c r="C102" s="4"/>
    </row>
    <row r="103" spans="3:3" x14ac:dyDescent="0.35">
      <c r="C103" s="4"/>
    </row>
    <row r="105" spans="3:3" x14ac:dyDescent="0.35">
      <c r="C105" s="4"/>
    </row>
    <row r="106" spans="3:3" x14ac:dyDescent="0.35">
      <c r="C106" s="4"/>
    </row>
    <row r="107" spans="3:3" x14ac:dyDescent="0.35">
      <c r="C107" s="4"/>
    </row>
    <row r="108" spans="3:3" x14ac:dyDescent="0.35">
      <c r="C108" s="4"/>
    </row>
    <row r="109" spans="3:3" x14ac:dyDescent="0.35">
      <c r="C109" s="4"/>
    </row>
    <row r="110" spans="3:3" x14ac:dyDescent="0.35">
      <c r="C110" s="4"/>
    </row>
    <row r="111" spans="3:3" x14ac:dyDescent="0.35">
      <c r="C111" s="4"/>
    </row>
    <row r="112" spans="3:3" x14ac:dyDescent="0.35">
      <c r="C112" s="4"/>
    </row>
    <row r="113" spans="3:3" x14ac:dyDescent="0.35">
      <c r="C113" s="4"/>
    </row>
    <row r="114" spans="3:3" x14ac:dyDescent="0.35">
      <c r="C114" s="4"/>
    </row>
    <row r="115" spans="3:3" x14ac:dyDescent="0.35">
      <c r="C115" s="4"/>
    </row>
    <row r="116" spans="3:3" x14ac:dyDescent="0.35">
      <c r="C116" s="4"/>
    </row>
    <row r="117" spans="3:3" x14ac:dyDescent="0.35">
      <c r="C117" s="4"/>
    </row>
    <row r="118" spans="3:3" x14ac:dyDescent="0.35">
      <c r="C118" s="4"/>
    </row>
    <row r="119" spans="3:3" x14ac:dyDescent="0.35">
      <c r="C119" s="4"/>
    </row>
    <row r="120" spans="3:3" x14ac:dyDescent="0.35">
      <c r="C120" s="4"/>
    </row>
    <row r="121" spans="3:3" x14ac:dyDescent="0.35">
      <c r="C121" s="4"/>
    </row>
    <row r="122" spans="3:3" x14ac:dyDescent="0.35">
      <c r="C122" s="4"/>
    </row>
    <row r="123" spans="3:3" x14ac:dyDescent="0.35">
      <c r="C123" s="4"/>
    </row>
    <row r="124" spans="3:3" x14ac:dyDescent="0.35">
      <c r="C124" s="4"/>
    </row>
    <row r="125" spans="3:3" x14ac:dyDescent="0.35">
      <c r="C125" s="4"/>
    </row>
    <row r="126" spans="3:3" x14ac:dyDescent="0.35">
      <c r="C126" s="4"/>
    </row>
    <row r="127" spans="3:3" x14ac:dyDescent="0.35">
      <c r="C127" s="4"/>
    </row>
    <row r="128" spans="3:3" x14ac:dyDescent="0.35">
      <c r="C128" s="4"/>
    </row>
    <row r="129" spans="3:3" x14ac:dyDescent="0.35">
      <c r="C129" s="4"/>
    </row>
    <row r="130" spans="3:3" x14ac:dyDescent="0.35">
      <c r="C130" s="4"/>
    </row>
    <row r="131" spans="3:3" x14ac:dyDescent="0.35">
      <c r="C131" s="4"/>
    </row>
    <row r="132" spans="3:3" x14ac:dyDescent="0.35">
      <c r="C132" s="4"/>
    </row>
    <row r="133" spans="3:3" x14ac:dyDescent="0.35">
      <c r="C133" s="4"/>
    </row>
    <row r="134" spans="3:3" x14ac:dyDescent="0.35">
      <c r="C134" s="4"/>
    </row>
    <row r="135" spans="3:3" x14ac:dyDescent="0.35">
      <c r="C135" s="4"/>
    </row>
    <row r="136" spans="3:3" x14ac:dyDescent="0.35">
      <c r="C136" s="4"/>
    </row>
    <row r="137" spans="3:3" x14ac:dyDescent="0.35">
      <c r="C137" s="4"/>
    </row>
    <row r="138" spans="3:3" x14ac:dyDescent="0.35">
      <c r="C138" s="4"/>
    </row>
    <row r="139" spans="3:3" x14ac:dyDescent="0.35">
      <c r="C139" s="4"/>
    </row>
    <row r="140" spans="3:3" x14ac:dyDescent="0.35">
      <c r="C140" s="4"/>
    </row>
    <row r="141" spans="3:3" x14ac:dyDescent="0.35">
      <c r="C141" s="4"/>
    </row>
    <row r="142" spans="3:3" x14ac:dyDescent="0.35">
      <c r="C142" s="4"/>
    </row>
    <row r="143" spans="3:3" x14ac:dyDescent="0.35">
      <c r="C143" s="4"/>
    </row>
    <row r="144" spans="3:3" x14ac:dyDescent="0.35">
      <c r="C144" s="4"/>
    </row>
    <row r="145" spans="3:3" x14ac:dyDescent="0.35">
      <c r="C145" s="4"/>
    </row>
    <row r="146" spans="3:3" x14ac:dyDescent="0.35">
      <c r="C146" s="4"/>
    </row>
    <row r="147" spans="3:3" x14ac:dyDescent="0.35">
      <c r="C147" s="4"/>
    </row>
    <row r="148" spans="3:3" x14ac:dyDescent="0.35">
      <c r="C148" s="4"/>
    </row>
    <row r="149" spans="3:3" x14ac:dyDescent="0.35">
      <c r="C149" s="4"/>
    </row>
    <row r="150" spans="3:3" x14ac:dyDescent="0.35">
      <c r="C150" s="4"/>
    </row>
    <row r="151" spans="3:3" x14ac:dyDescent="0.35">
      <c r="C151" s="4"/>
    </row>
    <row r="152" spans="3:3" x14ac:dyDescent="0.35">
      <c r="C152" s="4"/>
    </row>
    <row r="153" spans="3:3" x14ac:dyDescent="0.35">
      <c r="C153" s="4"/>
    </row>
    <row r="154" spans="3:3" x14ac:dyDescent="0.35">
      <c r="C154" s="4"/>
    </row>
    <row r="155" spans="3:3" x14ac:dyDescent="0.35">
      <c r="C155" s="4"/>
    </row>
    <row r="156" spans="3:3" x14ac:dyDescent="0.35">
      <c r="C156" s="4"/>
    </row>
    <row r="157" spans="3:3" x14ac:dyDescent="0.35">
      <c r="C157" s="4"/>
    </row>
    <row r="158" spans="3:3" x14ac:dyDescent="0.35">
      <c r="C158" s="4"/>
    </row>
    <row r="159" spans="3:3" x14ac:dyDescent="0.35">
      <c r="C159" s="4"/>
    </row>
    <row r="160" spans="3:3" x14ac:dyDescent="0.35">
      <c r="C160" s="4"/>
    </row>
    <row r="161" spans="3:3" x14ac:dyDescent="0.35">
      <c r="C161" s="4"/>
    </row>
    <row r="162" spans="3:3" x14ac:dyDescent="0.35">
      <c r="C162" s="4"/>
    </row>
    <row r="163" spans="3:3" x14ac:dyDescent="0.35">
      <c r="C163" s="4"/>
    </row>
    <row r="164" spans="3:3" x14ac:dyDescent="0.35">
      <c r="C164" s="4"/>
    </row>
    <row r="165" spans="3:3" x14ac:dyDescent="0.35">
      <c r="C165" s="4"/>
    </row>
    <row r="166" spans="3:3" x14ac:dyDescent="0.35">
      <c r="C166" s="4"/>
    </row>
    <row r="167" spans="3:3" x14ac:dyDescent="0.35">
      <c r="C167" s="4"/>
    </row>
    <row r="168" spans="3:3" x14ac:dyDescent="0.35">
      <c r="C168" s="4"/>
    </row>
    <row r="169" spans="3:3" x14ac:dyDescent="0.35">
      <c r="C169" s="4"/>
    </row>
    <row r="170" spans="3:3" x14ac:dyDescent="0.35">
      <c r="C170" s="4"/>
    </row>
    <row r="171" spans="3:3" x14ac:dyDescent="0.35">
      <c r="C171" s="4"/>
    </row>
    <row r="172" spans="3:3" x14ac:dyDescent="0.35">
      <c r="C172" s="4"/>
    </row>
    <row r="173" spans="3:3" x14ac:dyDescent="0.35">
      <c r="C173" s="4"/>
    </row>
    <row r="174" spans="3:3" x14ac:dyDescent="0.35">
      <c r="C174" s="4"/>
    </row>
    <row r="175" spans="3:3" x14ac:dyDescent="0.35">
      <c r="C175" s="4"/>
    </row>
    <row r="176" spans="3:3" x14ac:dyDescent="0.35">
      <c r="C176" s="4"/>
    </row>
    <row r="177" spans="3:3" x14ac:dyDescent="0.35">
      <c r="C177" s="4"/>
    </row>
    <row r="178" spans="3:3" x14ac:dyDescent="0.35">
      <c r="C178" s="4"/>
    </row>
    <row r="179" spans="3:3" x14ac:dyDescent="0.35">
      <c r="C179" s="4"/>
    </row>
    <row r="180" spans="3:3" x14ac:dyDescent="0.35">
      <c r="C180" s="4"/>
    </row>
    <row r="181" spans="3:3" x14ac:dyDescent="0.35">
      <c r="C181" s="4"/>
    </row>
    <row r="182" spans="3:3" x14ac:dyDescent="0.35">
      <c r="C182" s="4"/>
    </row>
    <row r="183" spans="3:3" x14ac:dyDescent="0.35">
      <c r="C183" s="4"/>
    </row>
    <row r="184" spans="3:3" x14ac:dyDescent="0.35">
      <c r="C184" s="4"/>
    </row>
    <row r="185" spans="3:3" x14ac:dyDescent="0.35">
      <c r="C185" s="4"/>
    </row>
    <row r="186" spans="3:3" x14ac:dyDescent="0.35">
      <c r="C186" s="4"/>
    </row>
    <row r="187" spans="3:3" x14ac:dyDescent="0.35">
      <c r="C187" s="4"/>
    </row>
    <row r="188" spans="3:3" x14ac:dyDescent="0.35">
      <c r="C188" s="4"/>
    </row>
    <row r="189" spans="3:3" x14ac:dyDescent="0.35">
      <c r="C189" s="4"/>
    </row>
    <row r="190" spans="3:3" x14ac:dyDescent="0.35">
      <c r="C190" s="4"/>
    </row>
    <row r="191" spans="3:3" x14ac:dyDescent="0.35">
      <c r="C191" s="4"/>
    </row>
    <row r="192" spans="3:3" x14ac:dyDescent="0.35">
      <c r="C192" s="4"/>
    </row>
    <row r="193" spans="3:3" x14ac:dyDescent="0.35">
      <c r="C193" s="4"/>
    </row>
    <row r="194" spans="3:3" x14ac:dyDescent="0.35">
      <c r="C194" s="4"/>
    </row>
    <row r="195" spans="3:3" x14ac:dyDescent="0.35">
      <c r="C195" s="4"/>
    </row>
    <row r="196" spans="3:3" x14ac:dyDescent="0.35">
      <c r="C196" s="4"/>
    </row>
    <row r="197" spans="3:3" x14ac:dyDescent="0.35">
      <c r="C197" s="4"/>
    </row>
    <row r="198" spans="3:3" x14ac:dyDescent="0.35">
      <c r="C198" s="4"/>
    </row>
    <row r="199" spans="3:3" x14ac:dyDescent="0.35">
      <c r="C199" s="4"/>
    </row>
    <row r="200" spans="3:3" x14ac:dyDescent="0.35">
      <c r="C200" s="4"/>
    </row>
    <row r="201" spans="3:3" x14ac:dyDescent="0.35">
      <c r="C201" s="4"/>
    </row>
    <row r="202" spans="3:3" x14ac:dyDescent="0.35">
      <c r="C202" s="4"/>
    </row>
    <row r="203" spans="3:3" x14ac:dyDescent="0.35">
      <c r="C203" s="4"/>
    </row>
    <row r="204" spans="3:3" x14ac:dyDescent="0.35">
      <c r="C204" s="4"/>
    </row>
    <row r="205" spans="3:3" x14ac:dyDescent="0.35">
      <c r="C205" s="4"/>
    </row>
    <row r="206" spans="3:3" x14ac:dyDescent="0.35">
      <c r="C206" s="4"/>
    </row>
    <row r="207" spans="3:3" x14ac:dyDescent="0.35">
      <c r="C207" s="4"/>
    </row>
    <row r="208" spans="3:3" x14ac:dyDescent="0.35">
      <c r="C208" s="4"/>
    </row>
    <row r="209" spans="3:3" x14ac:dyDescent="0.35">
      <c r="C209" s="4"/>
    </row>
    <row r="210" spans="3:3" x14ac:dyDescent="0.35">
      <c r="C210" s="4"/>
    </row>
    <row r="211" spans="3:3" x14ac:dyDescent="0.35">
      <c r="C211" s="4"/>
    </row>
    <row r="212" spans="3:3" x14ac:dyDescent="0.35">
      <c r="C212" s="4"/>
    </row>
    <row r="213" spans="3:3" x14ac:dyDescent="0.35">
      <c r="C213" s="4"/>
    </row>
    <row r="214" spans="3:3" x14ac:dyDescent="0.35">
      <c r="C214" s="4"/>
    </row>
    <row r="215" spans="3:3" x14ac:dyDescent="0.35">
      <c r="C215" s="4"/>
    </row>
    <row r="216" spans="3:3" x14ac:dyDescent="0.35">
      <c r="C216" s="4"/>
    </row>
    <row r="217" spans="3:3" x14ac:dyDescent="0.35">
      <c r="C217" s="4"/>
    </row>
    <row r="218" spans="3:3" x14ac:dyDescent="0.35">
      <c r="C218" s="4"/>
    </row>
    <row r="219" spans="3:3" x14ac:dyDescent="0.35">
      <c r="C219" s="4"/>
    </row>
    <row r="220" spans="3:3" x14ac:dyDescent="0.35">
      <c r="C220" s="4"/>
    </row>
    <row r="221" spans="3:3" x14ac:dyDescent="0.35">
      <c r="C221" s="4"/>
    </row>
    <row r="222" spans="3:3" x14ac:dyDescent="0.35">
      <c r="C222" s="4"/>
    </row>
    <row r="223" spans="3:3" x14ac:dyDescent="0.35">
      <c r="C223" s="4"/>
    </row>
    <row r="224" spans="3:3" x14ac:dyDescent="0.35">
      <c r="C224" s="4"/>
    </row>
    <row r="225" spans="3:3" x14ac:dyDescent="0.35">
      <c r="C225" s="4"/>
    </row>
    <row r="226" spans="3:3" x14ac:dyDescent="0.35">
      <c r="C226" s="4"/>
    </row>
    <row r="227" spans="3:3" x14ac:dyDescent="0.35">
      <c r="C227" s="4"/>
    </row>
    <row r="228" spans="3:3" x14ac:dyDescent="0.35">
      <c r="C228" s="4"/>
    </row>
    <row r="229" spans="3:3" x14ac:dyDescent="0.35">
      <c r="C229" s="4"/>
    </row>
    <row r="230" spans="3:3" x14ac:dyDescent="0.35">
      <c r="C230" s="4"/>
    </row>
    <row r="231" spans="3:3" x14ac:dyDescent="0.35">
      <c r="C231" s="4"/>
    </row>
    <row r="232" spans="3:3" x14ac:dyDescent="0.35">
      <c r="C232" s="4"/>
    </row>
    <row r="233" spans="3:3" x14ac:dyDescent="0.35">
      <c r="C233" s="4"/>
    </row>
    <row r="234" spans="3:3" x14ac:dyDescent="0.35">
      <c r="C234" s="4"/>
    </row>
    <row r="235" spans="3:3" x14ac:dyDescent="0.35">
      <c r="C235" s="4"/>
    </row>
    <row r="236" spans="3:3" x14ac:dyDescent="0.35">
      <c r="C236" s="4"/>
    </row>
    <row r="237" spans="3:3" x14ac:dyDescent="0.35">
      <c r="C237" s="4"/>
    </row>
    <row r="238" spans="3:3" x14ac:dyDescent="0.35">
      <c r="C238" s="4"/>
    </row>
    <row r="239" spans="3:3" x14ac:dyDescent="0.35">
      <c r="C239" s="4"/>
    </row>
    <row r="240" spans="3:3" x14ac:dyDescent="0.35">
      <c r="C240" s="4"/>
    </row>
    <row r="241" spans="3:3" x14ac:dyDescent="0.35">
      <c r="C241" s="4"/>
    </row>
    <row r="242" spans="3:3" x14ac:dyDescent="0.35">
      <c r="C242" s="4"/>
    </row>
    <row r="243" spans="3:3" x14ac:dyDescent="0.35">
      <c r="C243" s="4"/>
    </row>
    <row r="244" spans="3:3" x14ac:dyDescent="0.35">
      <c r="C244" s="4"/>
    </row>
    <row r="245" spans="3:3" x14ac:dyDescent="0.35">
      <c r="C245" s="4"/>
    </row>
    <row r="246" spans="3:3" x14ac:dyDescent="0.35">
      <c r="C246" s="4"/>
    </row>
    <row r="247" spans="3:3" x14ac:dyDescent="0.35">
      <c r="C247" s="4"/>
    </row>
    <row r="248" spans="3:3" x14ac:dyDescent="0.35">
      <c r="C248" s="4"/>
    </row>
    <row r="249" spans="3:3" x14ac:dyDescent="0.35">
      <c r="C249" s="4"/>
    </row>
    <row r="250" spans="3:3" x14ac:dyDescent="0.35">
      <c r="C250" s="4"/>
    </row>
    <row r="251" spans="3:3" x14ac:dyDescent="0.35">
      <c r="C251" s="4"/>
    </row>
    <row r="252" spans="3:3" x14ac:dyDescent="0.35">
      <c r="C252" s="4"/>
    </row>
    <row r="253" spans="3:3" x14ac:dyDescent="0.35">
      <c r="C253" s="4"/>
    </row>
    <row r="254" spans="3:3" x14ac:dyDescent="0.35">
      <c r="C254" s="4"/>
    </row>
    <row r="255" spans="3:3" x14ac:dyDescent="0.35">
      <c r="C255" s="4"/>
    </row>
    <row r="256" spans="3:3" x14ac:dyDescent="0.35">
      <c r="C256" s="4"/>
    </row>
    <row r="257" spans="3:3" x14ac:dyDescent="0.35">
      <c r="C257" s="4"/>
    </row>
    <row r="258" spans="3:3" x14ac:dyDescent="0.35">
      <c r="C258" s="4"/>
    </row>
    <row r="259" spans="3:3" x14ac:dyDescent="0.35">
      <c r="C259" s="4"/>
    </row>
    <row r="260" spans="3:3" x14ac:dyDescent="0.35">
      <c r="C260" s="4"/>
    </row>
    <row r="261" spans="3:3" x14ac:dyDescent="0.35">
      <c r="C261" s="4"/>
    </row>
    <row r="262" spans="3:3" x14ac:dyDescent="0.35">
      <c r="C262" s="4"/>
    </row>
    <row r="263" spans="3:3" x14ac:dyDescent="0.35">
      <c r="C263" s="4"/>
    </row>
    <row r="264" spans="3:3" x14ac:dyDescent="0.35">
      <c r="C264" s="4"/>
    </row>
    <row r="265" spans="3:3" x14ac:dyDescent="0.35">
      <c r="C265" s="4"/>
    </row>
    <row r="266" spans="3:3" x14ac:dyDescent="0.35">
      <c r="C266" s="4"/>
    </row>
    <row r="267" spans="3:3" x14ac:dyDescent="0.35">
      <c r="C267" s="4"/>
    </row>
    <row r="268" spans="3:3" x14ac:dyDescent="0.35">
      <c r="C268" s="4"/>
    </row>
    <row r="269" spans="3:3" x14ac:dyDescent="0.35">
      <c r="C269" s="4"/>
    </row>
    <row r="270" spans="3:3" x14ac:dyDescent="0.35">
      <c r="C270" s="4"/>
    </row>
    <row r="271" spans="3:3" x14ac:dyDescent="0.35">
      <c r="C271" s="4"/>
    </row>
    <row r="272" spans="3:3" x14ac:dyDescent="0.35">
      <c r="C272" s="4"/>
    </row>
    <row r="273" spans="3:3" x14ac:dyDescent="0.35">
      <c r="C273" s="4"/>
    </row>
    <row r="274" spans="3:3" x14ac:dyDescent="0.35">
      <c r="C274" s="4"/>
    </row>
    <row r="275" spans="3:3" x14ac:dyDescent="0.35">
      <c r="C275" s="4"/>
    </row>
    <row r="276" spans="3:3" x14ac:dyDescent="0.35">
      <c r="C276" s="4"/>
    </row>
    <row r="277" spans="3:3" x14ac:dyDescent="0.35">
      <c r="C277" s="4"/>
    </row>
    <row r="278" spans="3:3" x14ac:dyDescent="0.35">
      <c r="C278" s="4"/>
    </row>
    <row r="279" spans="3:3" x14ac:dyDescent="0.35">
      <c r="C279" s="4"/>
    </row>
    <row r="280" spans="3:3" x14ac:dyDescent="0.35">
      <c r="C280" s="4"/>
    </row>
    <row r="281" spans="3:3" x14ac:dyDescent="0.35">
      <c r="C281" s="4"/>
    </row>
    <row r="282" spans="3:3" x14ac:dyDescent="0.35">
      <c r="C282" s="4"/>
    </row>
    <row r="283" spans="3:3" x14ac:dyDescent="0.35">
      <c r="C283" s="4"/>
    </row>
    <row r="284" spans="3:3" x14ac:dyDescent="0.35">
      <c r="C284" s="4"/>
    </row>
    <row r="285" spans="3:3" x14ac:dyDescent="0.35">
      <c r="C285" s="4"/>
    </row>
    <row r="286" spans="3:3" x14ac:dyDescent="0.35">
      <c r="C286" s="4"/>
    </row>
    <row r="287" spans="3:3" x14ac:dyDescent="0.35">
      <c r="C287" s="4"/>
    </row>
    <row r="288" spans="3:3" x14ac:dyDescent="0.35">
      <c r="C288" s="4"/>
    </row>
    <row r="289" spans="3:3" x14ac:dyDescent="0.35">
      <c r="C289" s="4"/>
    </row>
    <row r="290" spans="3:3" x14ac:dyDescent="0.35">
      <c r="C290" s="4"/>
    </row>
    <row r="291" spans="3:3" x14ac:dyDescent="0.35">
      <c r="C291" s="4"/>
    </row>
    <row r="292" spans="3:3" x14ac:dyDescent="0.35">
      <c r="C292" s="4"/>
    </row>
    <row r="293" spans="3:3" x14ac:dyDescent="0.35">
      <c r="C293" s="4"/>
    </row>
    <row r="294" spans="3:3" x14ac:dyDescent="0.35">
      <c r="C294" s="4"/>
    </row>
    <row r="295" spans="3:3" x14ac:dyDescent="0.35">
      <c r="C295" s="4"/>
    </row>
    <row r="296" spans="3:3" x14ac:dyDescent="0.35">
      <c r="C296" s="4"/>
    </row>
    <row r="297" spans="3:3" x14ac:dyDescent="0.35">
      <c r="C297" s="4"/>
    </row>
    <row r="298" spans="3:3" x14ac:dyDescent="0.35">
      <c r="C298" s="4"/>
    </row>
    <row r="299" spans="3:3" x14ac:dyDescent="0.35">
      <c r="C299" s="4"/>
    </row>
    <row r="300" spans="3:3" x14ac:dyDescent="0.35">
      <c r="C300" s="4"/>
    </row>
    <row r="301" spans="3:3" x14ac:dyDescent="0.35">
      <c r="C301" s="4"/>
    </row>
    <row r="302" spans="3:3" x14ac:dyDescent="0.35">
      <c r="C302" s="4"/>
    </row>
    <row r="303" spans="3:3" x14ac:dyDescent="0.35">
      <c r="C303" s="4"/>
    </row>
    <row r="304" spans="3:3" x14ac:dyDescent="0.35">
      <c r="C304" s="4"/>
    </row>
    <row r="305" spans="3:3" x14ac:dyDescent="0.35">
      <c r="C305" s="4"/>
    </row>
    <row r="306" spans="3:3" x14ac:dyDescent="0.35">
      <c r="C306" s="4"/>
    </row>
    <row r="307" spans="3:3" x14ac:dyDescent="0.35">
      <c r="C307" s="4"/>
    </row>
    <row r="308" spans="3:3" x14ac:dyDescent="0.35">
      <c r="C308" s="4"/>
    </row>
    <row r="309" spans="3:3" x14ac:dyDescent="0.35">
      <c r="C309" s="4"/>
    </row>
    <row r="310" spans="3:3" x14ac:dyDescent="0.35">
      <c r="C310" s="4"/>
    </row>
    <row r="311" spans="3:3" x14ac:dyDescent="0.35">
      <c r="C311" s="4"/>
    </row>
    <row r="312" spans="3:3" x14ac:dyDescent="0.35">
      <c r="C312" s="4"/>
    </row>
    <row r="313" spans="3:3" x14ac:dyDescent="0.35">
      <c r="C313" s="4"/>
    </row>
    <row r="314" spans="3:3" x14ac:dyDescent="0.35">
      <c r="C314" s="4"/>
    </row>
    <row r="315" spans="3:3" x14ac:dyDescent="0.35">
      <c r="C315" s="4"/>
    </row>
    <row r="316" spans="3:3" x14ac:dyDescent="0.35">
      <c r="C316" s="4"/>
    </row>
    <row r="317" spans="3:3" x14ac:dyDescent="0.35">
      <c r="C317" s="4"/>
    </row>
    <row r="318" spans="3:3" x14ac:dyDescent="0.35">
      <c r="C318" s="4"/>
    </row>
    <row r="319" spans="3:3" x14ac:dyDescent="0.35">
      <c r="C319" s="4"/>
    </row>
    <row r="320" spans="3:3" x14ac:dyDescent="0.35">
      <c r="C320" s="4"/>
    </row>
    <row r="321" spans="3:3" x14ac:dyDescent="0.35">
      <c r="C321" s="4"/>
    </row>
    <row r="322" spans="3:3" x14ac:dyDescent="0.35">
      <c r="C322" s="4"/>
    </row>
    <row r="323" spans="3:3" x14ac:dyDescent="0.35">
      <c r="C323" s="4"/>
    </row>
    <row r="324" spans="3:3" x14ac:dyDescent="0.35">
      <c r="C324" s="4"/>
    </row>
    <row r="325" spans="3:3" x14ac:dyDescent="0.35">
      <c r="C325" s="4"/>
    </row>
    <row r="326" spans="3:3" x14ac:dyDescent="0.35">
      <c r="C326" s="4"/>
    </row>
    <row r="327" spans="3:3" x14ac:dyDescent="0.35">
      <c r="C327" s="4"/>
    </row>
    <row r="328" spans="3:3" x14ac:dyDescent="0.35">
      <c r="C328" s="4"/>
    </row>
    <row r="329" spans="3:3" x14ac:dyDescent="0.35">
      <c r="C329" s="4"/>
    </row>
    <row r="330" spans="3:3" x14ac:dyDescent="0.35">
      <c r="C330" s="4"/>
    </row>
    <row r="331" spans="3:3" x14ac:dyDescent="0.35">
      <c r="C331" s="4"/>
    </row>
    <row r="332" spans="3:3" x14ac:dyDescent="0.35">
      <c r="C332" s="4"/>
    </row>
    <row r="333" spans="3:3" x14ac:dyDescent="0.35">
      <c r="C333" s="4"/>
    </row>
    <row r="334" spans="3:3" x14ac:dyDescent="0.35">
      <c r="C334" s="4"/>
    </row>
    <row r="335" spans="3:3" x14ac:dyDescent="0.35">
      <c r="C335" s="4"/>
    </row>
    <row r="336" spans="3:3" x14ac:dyDescent="0.35">
      <c r="C336" s="4"/>
    </row>
    <row r="337" spans="3:3" x14ac:dyDescent="0.35">
      <c r="C337" s="4"/>
    </row>
    <row r="338" spans="3:3" x14ac:dyDescent="0.35">
      <c r="C338" s="4"/>
    </row>
    <row r="339" spans="3:3" x14ac:dyDescent="0.35">
      <c r="C339" s="4"/>
    </row>
    <row r="340" spans="3:3" x14ac:dyDescent="0.35">
      <c r="C340" s="4"/>
    </row>
    <row r="341" spans="3:3" x14ac:dyDescent="0.35">
      <c r="C341" s="4"/>
    </row>
    <row r="342" spans="3:3" x14ac:dyDescent="0.35">
      <c r="C342" s="4"/>
    </row>
    <row r="343" spans="3:3" x14ac:dyDescent="0.35">
      <c r="C343" s="4"/>
    </row>
    <row r="344" spans="3:3" x14ac:dyDescent="0.35">
      <c r="C344" s="4"/>
    </row>
    <row r="345" spans="3:3" x14ac:dyDescent="0.35">
      <c r="C345" s="4"/>
    </row>
    <row r="346" spans="3:3" x14ac:dyDescent="0.35">
      <c r="C346" s="4"/>
    </row>
    <row r="347" spans="3:3" x14ac:dyDescent="0.35">
      <c r="C347" s="4"/>
    </row>
    <row r="348" spans="3:3" x14ac:dyDescent="0.35">
      <c r="C348" s="4"/>
    </row>
    <row r="349" spans="3:3" x14ac:dyDescent="0.35">
      <c r="C349" s="4"/>
    </row>
    <row r="350" spans="3:3" x14ac:dyDescent="0.35">
      <c r="C350" s="4"/>
    </row>
    <row r="351" spans="3:3" x14ac:dyDescent="0.35">
      <c r="C351" s="4"/>
    </row>
    <row r="352" spans="3:3" x14ac:dyDescent="0.35">
      <c r="C352" s="4"/>
    </row>
    <row r="353" spans="3:3" x14ac:dyDescent="0.35">
      <c r="C353" s="4"/>
    </row>
    <row r="354" spans="3:3" x14ac:dyDescent="0.35">
      <c r="C354" s="4"/>
    </row>
    <row r="355" spans="3:3" x14ac:dyDescent="0.35">
      <c r="C355" s="4"/>
    </row>
    <row r="356" spans="3:3" x14ac:dyDescent="0.35">
      <c r="C356" s="4"/>
    </row>
    <row r="357" spans="3:3" x14ac:dyDescent="0.35">
      <c r="C357" s="4"/>
    </row>
    <row r="358" spans="3:3" x14ac:dyDescent="0.35">
      <c r="C358" s="4"/>
    </row>
    <row r="359" spans="3:3" x14ac:dyDescent="0.35">
      <c r="C359" s="4"/>
    </row>
    <row r="360" spans="3:3" x14ac:dyDescent="0.35">
      <c r="C360" s="4"/>
    </row>
    <row r="361" spans="3:3" x14ac:dyDescent="0.35">
      <c r="C361" s="4"/>
    </row>
    <row r="362" spans="3:3" x14ac:dyDescent="0.35">
      <c r="C362" s="4"/>
    </row>
    <row r="363" spans="3:3" x14ac:dyDescent="0.35">
      <c r="C363" s="4"/>
    </row>
    <row r="364" spans="3:3" x14ac:dyDescent="0.35">
      <c r="C364" s="4"/>
    </row>
    <row r="365" spans="3:3" x14ac:dyDescent="0.35">
      <c r="C365" s="4"/>
    </row>
    <row r="366" spans="3:3" x14ac:dyDescent="0.35">
      <c r="C366" s="4"/>
    </row>
    <row r="367" spans="3:3" x14ac:dyDescent="0.35">
      <c r="C367" s="4"/>
    </row>
    <row r="368" spans="3:3" x14ac:dyDescent="0.35">
      <c r="C368" s="4"/>
    </row>
    <row r="369" spans="3:3" x14ac:dyDescent="0.35">
      <c r="C369" s="4"/>
    </row>
    <row r="370" spans="3:3" x14ac:dyDescent="0.35">
      <c r="C370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Cleaned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2026-01-19T19:39:44Z</dcterms:modified>
</cp:coreProperties>
</file>